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sl.localhost\Ubuntu\home\rony\projects\sentence-project\data\excel_files\"/>
    </mc:Choice>
  </mc:AlternateContent>
  <xr:revisionPtr revIDLastSave="0" documentId="13_ncr:1_{9777FB4D-5A1E-4724-8F4D-BD5A2BCC06FE}" xr6:coauthVersionLast="47" xr6:coauthVersionMax="47" xr10:uidLastSave="{00000000-0000-0000-0000-000000000000}"/>
  <bookViews>
    <workbookView xWindow="-120" yWindow="-120" windowWidth="29040" windowHeight="15720" xr2:uid="{00000000-000D-0000-FFFF-FFFF00000000}"/>
  </bookViews>
  <sheets>
    <sheet name="מאוחד_השוואה"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30" i="1" l="1"/>
  <c r="F329" i="1"/>
  <c r="F328" i="1"/>
  <c r="F322" i="1"/>
  <c r="F316" i="1"/>
  <c r="F315" i="1"/>
  <c r="F314" i="1"/>
  <c r="F313" i="1"/>
  <c r="F312" i="1"/>
  <c r="F309" i="1"/>
  <c r="F308" i="1"/>
  <c r="F307" i="1"/>
  <c r="F306" i="1"/>
  <c r="F305" i="1"/>
  <c r="F304" i="1"/>
  <c r="F303" i="1"/>
  <c r="F297" i="1"/>
  <c r="F296" i="1"/>
  <c r="F295" i="1"/>
  <c r="F294" i="1"/>
  <c r="F293" i="1"/>
  <c r="F290" i="1"/>
  <c r="F289" i="1"/>
  <c r="F286" i="1"/>
  <c r="F285" i="1"/>
  <c r="F284" i="1"/>
  <c r="F283" i="1"/>
  <c r="F282" i="1"/>
  <c r="F281" i="1"/>
  <c r="F280" i="1"/>
  <c r="F279" i="1"/>
  <c r="F278" i="1"/>
  <c r="F277" i="1"/>
  <c r="F276" i="1"/>
  <c r="F275" i="1"/>
  <c r="F274" i="1"/>
  <c r="F273" i="1"/>
  <c r="F270" i="1"/>
  <c r="F269" i="1"/>
  <c r="F268" i="1"/>
  <c r="F267" i="1"/>
  <c r="F266" i="1"/>
  <c r="F263" i="1"/>
  <c r="F262" i="1"/>
  <c r="F261" i="1"/>
  <c r="F260" i="1"/>
  <c r="F259" i="1"/>
  <c r="F258" i="1"/>
  <c r="F255" i="1"/>
  <c r="F254" i="1"/>
  <c r="F253" i="1"/>
  <c r="F250" i="1"/>
  <c r="F249" i="1"/>
  <c r="F248" i="1"/>
  <c r="F247" i="1"/>
  <c r="F246" i="1"/>
  <c r="F240" i="1"/>
  <c r="F239" i="1"/>
  <c r="F238" i="1"/>
  <c r="F237" i="1"/>
  <c r="F236" i="1"/>
  <c r="F235" i="1"/>
  <c r="F229" i="1"/>
  <c r="F223" i="1"/>
  <c r="F220" i="1"/>
  <c r="F219" i="1"/>
  <c r="F218" i="1"/>
  <c r="F217" i="1"/>
  <c r="F216" i="1"/>
  <c r="F213" i="1"/>
  <c r="F212" i="1"/>
  <c r="F211" i="1"/>
  <c r="F210" i="1"/>
  <c r="F204" i="1"/>
  <c r="F203" i="1"/>
  <c r="F202" i="1"/>
  <c r="F201" i="1"/>
  <c r="F200" i="1"/>
  <c r="F197" i="1"/>
  <c r="F196" i="1"/>
  <c r="F195" i="1"/>
  <c r="F194" i="1"/>
  <c r="F193" i="1"/>
  <c r="F192" i="1"/>
  <c r="F186" i="1"/>
  <c r="F185" i="1"/>
  <c r="F184" i="1"/>
  <c r="F183" i="1"/>
  <c r="F182" i="1"/>
  <c r="F181" i="1"/>
  <c r="F180" i="1"/>
  <c r="F179" i="1"/>
  <c r="F178" i="1"/>
  <c r="F177" i="1"/>
  <c r="F176" i="1"/>
  <c r="F175" i="1"/>
  <c r="F174" i="1"/>
  <c r="F173" i="1"/>
  <c r="F172" i="1"/>
  <c r="F171" i="1"/>
  <c r="F170" i="1"/>
  <c r="F169" i="1"/>
  <c r="F165" i="1"/>
  <c r="F164" i="1"/>
  <c r="F163" i="1"/>
  <c r="F162" i="1"/>
  <c r="F161" i="1"/>
  <c r="F160" i="1"/>
  <c r="F159" i="1"/>
  <c r="F158" i="1"/>
  <c r="F157" i="1"/>
  <c r="F156" i="1"/>
  <c r="F155" i="1"/>
  <c r="F154" i="1"/>
  <c r="F153" i="1"/>
  <c r="F152" i="1"/>
  <c r="F151" i="1"/>
  <c r="F150" i="1"/>
  <c r="F149" i="1"/>
  <c r="F146" i="1"/>
  <c r="F145" i="1"/>
  <c r="F144" i="1"/>
  <c r="F141" i="1"/>
  <c r="F140" i="1"/>
  <c r="F137" i="1"/>
  <c r="F136" i="1"/>
  <c r="F135" i="1"/>
  <c r="F134" i="1"/>
  <c r="F133" i="1"/>
  <c r="F132" i="1"/>
  <c r="F131" i="1"/>
  <c r="F130" i="1"/>
  <c r="F127" i="1"/>
  <c r="F126" i="1"/>
  <c r="F125" i="1"/>
  <c r="F124" i="1"/>
  <c r="F118" i="1"/>
  <c r="F117" i="1"/>
  <c r="F116" i="1"/>
  <c r="F115" i="1"/>
  <c r="F114" i="1"/>
  <c r="F113" i="1"/>
  <c r="F112" i="1"/>
  <c r="F111" i="1"/>
  <c r="F110" i="1"/>
  <c r="F109" i="1"/>
  <c r="F106" i="1"/>
  <c r="F105" i="1"/>
  <c r="F104" i="1"/>
  <c r="F101" i="1"/>
  <c r="F100" i="1"/>
  <c r="F97" i="1"/>
  <c r="F94" i="1"/>
  <c r="F91" i="1"/>
  <c r="F90" i="1"/>
  <c r="F89" i="1"/>
  <c r="F86" i="1"/>
  <c r="F85" i="1"/>
  <c r="F84" i="1"/>
  <c r="F83" i="1"/>
  <c r="F82" i="1"/>
  <c r="F79" i="1"/>
  <c r="F78" i="1"/>
  <c r="F75" i="1"/>
  <c r="F72" i="1"/>
  <c r="F71" i="1"/>
  <c r="F70" i="1"/>
  <c r="F69" i="1"/>
  <c r="F68" i="1"/>
  <c r="F67" i="1"/>
  <c r="F66" i="1"/>
  <c r="F65" i="1"/>
  <c r="F64" i="1"/>
  <c r="F63" i="1"/>
  <c r="F60" i="1"/>
  <c r="F59" i="1"/>
  <c r="F58" i="1"/>
  <c r="F57" i="1"/>
  <c r="F54" i="1"/>
  <c r="F53" i="1"/>
  <c r="F52" i="1"/>
  <c r="F51" i="1"/>
  <c r="F50" i="1"/>
  <c r="F49" i="1"/>
  <c r="F46" i="1"/>
  <c r="F45" i="1"/>
  <c r="F39" i="1"/>
  <c r="F38" i="1"/>
  <c r="F37" i="1"/>
  <c r="F36" i="1"/>
  <c r="F35" i="1"/>
  <c r="F34" i="1"/>
  <c r="F33" i="1"/>
  <c r="F32" i="1"/>
  <c r="F31" i="1"/>
  <c r="F30" i="1"/>
  <c r="F29" i="1"/>
  <c r="F28" i="1"/>
  <c r="F27" i="1"/>
  <c r="F26" i="1"/>
  <c r="F25" i="1"/>
  <c r="F24" i="1"/>
  <c r="F23" i="1"/>
  <c r="F22" i="1"/>
  <c r="F21" i="1"/>
  <c r="F20" i="1"/>
  <c r="F19" i="1"/>
  <c r="F18" i="1"/>
  <c r="F17" i="1"/>
  <c r="F16" i="1"/>
  <c r="F15" i="1"/>
  <c r="F9" i="1"/>
</calcChain>
</file>

<file path=xl/sharedStrings.xml><?xml version="1.0" encoding="utf-8"?>
<sst xmlns="http://schemas.openxmlformats.org/spreadsheetml/2006/main" count="910" uniqueCount="546">
  <si>
    <t>סעיף</t>
  </si>
  <si>
    <t>תאור</t>
  </si>
  <si>
    <t>יח</t>
  </si>
  <si>
    <t>כמות</t>
  </si>
  <si>
    <t>מחיר</t>
  </si>
  <si>
    <t>סה"כ</t>
  </si>
  <si>
    <t/>
  </si>
  <si>
    <t>05</t>
  </si>
  <si>
    <t>איטום ובידוד</t>
  </si>
  <si>
    <t>05.001</t>
  </si>
  <si>
    <t>תת פרק  02.05.01</t>
  </si>
  <si>
    <t>05.001.0010</t>
  </si>
  <si>
    <r>
      <rPr>
        <sz val="11"/>
        <rFont val="Calibri"/>
      </rPr>
      <t>איטום ריצפת בטון בחדרים רטובים כולל רולקות וביטון הצנרת המונחת על הריצפה בפריימר 101במקשל 300גר' / מ"ר ושלוש שכבות של ביטומן חם מסוג "פוליגום" תוצרתביטום או ש"ע במשקל 3ק"ג / מ"ר ביטון הצנרת יעשה ע"י טיט צמנטי משופר ) 3חול, 1מלט, 20%תוסף אקרילי מחזק(</t>
    </r>
  </si>
  <si>
    <t>מ"ר</t>
  </si>
  <si>
    <t>06</t>
  </si>
  <si>
    <t>עבודות נגרות ומסגרות אומן</t>
  </si>
  <si>
    <t>06.001</t>
  </si>
  <si>
    <t>נגרות</t>
  </si>
  <si>
    <t>06.001.0010</t>
  </si>
  <si>
    <r>
      <rPr>
        <sz val="11"/>
        <rFont val="Calibri"/>
      </rPr>
      <t>דלת N601ברשימות כלל משקוף הכל כולל הכל לפי המפרט</t>
    </r>
  </si>
  <si>
    <t>יח'</t>
  </si>
  <si>
    <t>06.001.0020</t>
  </si>
  <si>
    <r>
      <rPr>
        <sz val="11"/>
        <rFont val="Calibri"/>
      </rPr>
      <t>דלת N602ברשימות כלל משקוף הכל כולל הכל לפי המפרט</t>
    </r>
  </si>
  <si>
    <t>06.001.0030</t>
  </si>
  <si>
    <r>
      <rPr>
        <sz val="11"/>
        <rFont val="Calibri"/>
      </rPr>
      <t>דלת N603ברשימות כלל משקוף הכל כולל הכל לפי המפרט</t>
    </r>
  </si>
  <si>
    <t>06.001.0040</t>
  </si>
  <si>
    <r>
      <rPr>
        <sz val="11"/>
        <rFont val="Calibri"/>
      </rPr>
      <t>דלת N604ברשימות כלל משקוף הכל כולל הכל לפי המפרט</t>
    </r>
  </si>
  <si>
    <t>06.001.0050</t>
  </si>
  <si>
    <r>
      <rPr>
        <sz val="11"/>
        <rFont val="Calibri"/>
      </rPr>
      <t>דלת N605ברשימות כלל משקוף הכל כולל הכל לפי המפרט</t>
    </r>
  </si>
  <si>
    <t>06.001.0060</t>
  </si>
  <si>
    <r>
      <rPr>
        <sz val="11"/>
        <rFont val="Calibri"/>
      </rPr>
      <t>פריט NB701ברשימות הכלל כולל הכל לרבות שיש וכיור לפי רשימת גמרים</t>
    </r>
  </si>
  <si>
    <t>06.001.0070</t>
  </si>
  <si>
    <r>
      <rPr>
        <sz val="11"/>
        <rFont val="Calibri"/>
      </rPr>
      <t>פריט NB702ברשימות הכלל כולל הכל לרבות שיש וכיור לפי רשימת גמרים</t>
    </r>
  </si>
  <si>
    <t>06.001.0080</t>
  </si>
  <si>
    <r>
      <rPr>
        <sz val="11"/>
        <rFont val="Calibri"/>
      </rPr>
      <t>פריט NB703ברשימות הכלל כולל הכל לרבות שיש וכיור לפי רשימת גמרים</t>
    </r>
  </si>
  <si>
    <t>06.001.0090</t>
  </si>
  <si>
    <r>
      <rPr>
        <sz val="11"/>
        <rFont val="Calibri"/>
      </rPr>
      <t>פריט NB704ברשימות הכלל כולל הכל לרבות חיזוקים + לרבות אביזרים ארון ניקיון</t>
    </r>
  </si>
  <si>
    <t>06.001.0100</t>
  </si>
  <si>
    <r>
      <rPr>
        <sz val="11"/>
        <rFont val="Calibri"/>
      </rPr>
      <t>פריט NB705ברשימות הכלל כולל הכל לרבות חיזוקים</t>
    </r>
  </si>
  <si>
    <t>06.001.0110</t>
  </si>
  <si>
    <r>
      <rPr>
        <sz val="11"/>
        <rFont val="Calibri"/>
      </rPr>
      <t>פריט NB706ברשימות הכלל כולל הכל לרבות חיזוקים</t>
    </r>
  </si>
  <si>
    <t>06.001.0120</t>
  </si>
  <si>
    <r>
      <rPr>
        <sz val="11"/>
        <rFont val="Calibri"/>
      </rPr>
      <t>פריט NB707ברשימות הכלל כולל הכל לרבות חיזוקים שיש וזכוכית חלבית</t>
    </r>
  </si>
  <si>
    <t>06.001.0140</t>
  </si>
  <si>
    <r>
      <rPr>
        <sz val="11"/>
        <rFont val="Calibri"/>
      </rPr>
      <t>פריט NB709ברשימות הכלל כולל הכל לרבות חיזוקים</t>
    </r>
  </si>
  <si>
    <t>06.001.0150</t>
  </si>
  <si>
    <r>
      <rPr>
        <sz val="11"/>
        <rFont val="Calibri"/>
      </rPr>
      <t>פריט NB710ברשימות הכלל כולל הכל לרבות חיזוקים</t>
    </r>
  </si>
  <si>
    <t>06.001.0160</t>
  </si>
  <si>
    <r>
      <rPr>
        <sz val="11"/>
        <rFont val="Calibri"/>
      </rPr>
      <t>פריט NB711ברשימות הכלל כולל הכל לרבות חיזוקים</t>
    </r>
  </si>
  <si>
    <t>06.001.0170</t>
  </si>
  <si>
    <r>
      <rPr>
        <sz val="11"/>
        <rFont val="Calibri"/>
      </rPr>
      <t>פריט NB712ברשימות הכלל כולל הכל לרבות חיזוקים</t>
    </r>
  </si>
  <si>
    <t>06.001.0290</t>
  </si>
  <si>
    <r>
      <rPr>
        <sz val="11"/>
        <rFont val="Calibri"/>
      </rPr>
      <t>מגן קיר בהמתנות מסוג המוגדר במפרט לאומית CONTACT 200בגוון , SILEX/FLINTתוצרת " ח.ג סחר בינלאומי "</t>
    </r>
  </si>
  <si>
    <t>מ'</t>
  </si>
  <si>
    <t>06.001.0300</t>
  </si>
  <si>
    <r>
      <rPr>
        <sz val="11"/>
        <rFont val="Calibri"/>
      </rPr>
      <t>מגן קיר סביב מיטת טיפולים המוגדר במפרט מסוג DECOHOCבגוון RGILE/FLINT , Aתוצרת " ח.ג סחר בינלאומי "</t>
    </r>
  </si>
  <si>
    <t>06.001.0310</t>
  </si>
  <si>
    <r>
      <rPr>
        <sz val="11"/>
        <rFont val="Calibri"/>
      </rPr>
      <t>מגן קיר בגב כיסא של רופא המוגדר במפרט מסוג CONTACT 350בגוון RGILE/CLAY , Aתוצרת " ח.ג סחר בינלאומי "</t>
    </r>
  </si>
  <si>
    <t>06.001.0320</t>
  </si>
  <si>
    <r>
      <rPr>
        <sz val="11"/>
        <rFont val="Calibri"/>
      </rPr>
      <t>מגן פינה מתועש מפי.ו.סי ,דוגמת דגם ,PROFILA 30בגוון לפי רשימת גמרים לאומית ,תוצרת " ח.ג סחר בינלאומי "</t>
    </r>
  </si>
  <si>
    <t>06.001.0330</t>
  </si>
  <si>
    <r>
      <rPr>
        <sz val="11"/>
        <rFont val="Calibri"/>
      </rPr>
      <t>פרט M501ברשימות הכל כולל הכל</t>
    </r>
  </si>
  <si>
    <t>06.001.0340</t>
  </si>
  <si>
    <r>
      <rPr>
        <sz val="11"/>
        <rFont val="Calibri"/>
      </rPr>
      <t>פרט M502ברשימות הכל כולל הכל</t>
    </r>
  </si>
  <si>
    <t>06.001.0350</t>
  </si>
  <si>
    <r>
      <rPr>
        <sz val="11"/>
        <rFont val="Calibri"/>
      </rPr>
      <t>פרט Ms-551ברשימות הכל כולל הכל</t>
    </r>
  </si>
  <si>
    <t>06.001.0360</t>
  </si>
  <si>
    <r>
      <rPr>
        <sz val="11"/>
        <rFont val="Calibri"/>
      </rPr>
      <t>פרט Ms-552ברשימות הכל כולל הכל</t>
    </r>
  </si>
  <si>
    <t>06.001.0370</t>
  </si>
  <si>
    <r>
      <rPr>
        <sz val="11"/>
        <rFont val="Calibri"/>
      </rPr>
      <t>פרט Ms-553ברשימות הכל כולל הכל</t>
    </r>
  </si>
  <si>
    <t>07</t>
  </si>
  <si>
    <t>מתקני תברואה</t>
  </si>
  <si>
    <t>07.011</t>
  </si>
  <si>
    <t>צינורות פלדה מגולוונים למים קרים וחמים</t>
  </si>
  <si>
    <t>07.011.0140</t>
  </si>
  <si>
    <r>
      <rPr>
        <sz val="11"/>
        <rFont val="Calibri"/>
      </rPr>
      <t>התחברות של צינור חדש קוטר מעל "2 עד "3 אל צינור גלוי קיים קוטר מעל "2 ועד "3, לרבות ניתוק קו קיים, חיתוך הצינור הקיים, ספחים (הכלולים), לחיבור הצינורהחדש לקיים, חיבור בהברגה ו/או בריתוך ובדיקת החיבור ללחץ מים</t>
    </r>
  </si>
  <si>
    <t>קומפ</t>
  </si>
  <si>
    <t>07.011.0150</t>
  </si>
  <si>
    <r>
      <rPr>
        <sz val="11"/>
        <rFont val="Calibri"/>
      </rPr>
      <t>התחברות של צינור חדש קוטר "4 אל צינור גלוי קיים קוטר "4, לרבות ניתוק קו קיים, חיתוך הצינור הקיים, ספחים (הכלולים), לחיבור הצינור החדש לקיים, חיבור בריתוך ובדיקת החיבור ללחץ מים</t>
    </r>
  </si>
  <si>
    <t>07.012</t>
  </si>
  <si>
    <t>צינורות פלסטיים למים קרים וחמים ולמערכת מתזים (ספרינקלרים)</t>
  </si>
  <si>
    <t>07.012.0110</t>
  </si>
  <si>
    <r>
      <rPr>
        <sz val="11"/>
        <rFont val="Calibri"/>
      </rPr>
      <t>צינורות פוליאתילן מצולב למים קרים וחמים כדוגמת "פקסגול" או ש"ע, קוטר 16 מ"מ, דרג 24, מותקנים גלויים או סמויים עם צינור מתעל קוטר 25 מ"מ, לרבות ספחים</t>
    </r>
  </si>
  <si>
    <t>07.012.0660</t>
  </si>
  <si>
    <r>
      <rPr>
        <sz val="11"/>
        <rFont val="Calibri"/>
      </rPr>
      <t>מחלקים מפליז לצינורות פלסטיים למים קרים וחמים מפוליאתילן מצולב לרבות פקקים, מותקן מושלם בתוך ארגז פיברגלס מתאים המשולם בנפרד, קוטר "1 מ"מ תבריג קוטר 16 מ"מ, 2 יציאות</t>
    </r>
  </si>
  <si>
    <t>07.012.1000</t>
  </si>
  <si>
    <r>
      <rPr>
        <sz val="11"/>
        <rFont val="Calibri"/>
      </rPr>
      <t>צינורות פוליפרופילן "פולירול פרייז" PP-R תוצרת "חוליות" או ש"ע, למים קרים וחמים, קוטר 20 מ"מ, ללחץ עבודה 20 אטמ', מותקנים גלויים או סמויים, לרבות ספחים</t>
    </r>
  </si>
  <si>
    <t>07.012.1010</t>
  </si>
  <si>
    <r>
      <rPr>
        <sz val="11"/>
        <rFont val="Calibri"/>
      </rPr>
      <t>צינורות פוליפרופילן "פולירול פרייז" PP-R תוצרת "חוליות" או ש"ע, למים קרים וחמים, קוטר 25 מ"מ, ללחץ עבודה 20 אטמ', מותקנים גלויים או סמויים, לרבות ספחים</t>
    </r>
  </si>
  <si>
    <t>07.012.1020</t>
  </si>
  <si>
    <r>
      <rPr>
        <sz val="11"/>
        <rFont val="Calibri"/>
      </rPr>
      <t>צינורות פוליפרופילן "פולירול פרייז", PP-R תוצרת "חוליות" או ש"ע, למים קרים וחמים, קוטר 32 מ"מ, ללחץ עבודה 20 אטמ', מותקנים גלויים או סמויים, לרבות ספחים</t>
    </r>
  </si>
  <si>
    <t>07.012.1051</t>
  </si>
  <si>
    <r>
      <rPr>
        <sz val="11"/>
        <rFont val="Calibri"/>
      </rPr>
      <t>צינורות פוליפרופילן "פולירול פרייז" PP-R תוצרת "חוליות" או ש"ע, למים קרים וחמים, קוטר 63 מ"מ למים קרים וחמים, ללחץ עבודה 20 אטמ', מותקנים גלויים או סמויים, לא כולל ספחים למעט מחברים</t>
    </r>
  </si>
  <si>
    <t>07.013</t>
  </si>
  <si>
    <t>צינורות פלדה שחורים למערכות מתזים (ספרינקלרים)</t>
  </si>
  <si>
    <t>07.013.0020</t>
  </si>
  <si>
    <r>
      <rPr>
        <sz val="11"/>
        <rFont val="Calibri"/>
      </rPr>
      <t>צינורות פלדה שחורים סקדיול 40 בלי תפר גלויים (וצבועים) או סמויים בתקרה מונמכת מחוברים בהברגות, לרבות ספחים ומתלים, קוטר "1</t>
    </r>
  </si>
  <si>
    <t>07.013.0040</t>
  </si>
  <si>
    <r>
      <rPr>
        <sz val="11"/>
        <rFont val="Calibri"/>
      </rPr>
      <t>צינורות פלדה שחורים סקדיול 40 בלי תפר גלויים (וצבועים) או סמויים בתקרה מונמכת מחוברים בהברגות או ע"י חיבורים מהירים מסוג Quick up, לרבות ספחים ומתלים,קוטר "1/2 1</t>
    </r>
  </si>
  <si>
    <t>07.013.0050</t>
  </si>
  <si>
    <r>
      <rPr>
        <sz val="11"/>
        <rFont val="Calibri"/>
      </rPr>
      <t>צינורות פלדה שחורים סקדיול 40 בלי תפר גלויים (וצבועים) או סמויים בתקרה מונמכת מחוברים בהברגות או ע"י חיבורים מהירים מסוג Quick up, לרבות ספחים ומתלים,קוטר "2</t>
    </r>
  </si>
  <si>
    <t>07.013.0060</t>
  </si>
  <si>
    <r>
      <rPr>
        <sz val="11"/>
        <rFont val="Calibri"/>
      </rPr>
      <t>צינורות פלדה שחורים סקדיול 40 בלי תפר גלויים (וצבועים) או סמויים בתקרה מונמכת מחוברים בהברגות או ע"י חיבורים מהירים מסוג Quick up, לא כולל ספחים ומתלים, קוטר "3</t>
    </r>
  </si>
  <si>
    <t>07.020</t>
  </si>
  <si>
    <t>קבועות סניטריה</t>
  </si>
  <si>
    <t>07.020.0001</t>
  </si>
  <si>
    <r>
      <rPr>
        <sz val="11"/>
        <rFont val="Calibri"/>
      </rPr>
      <t>אספקה והתקנה של אסלת נכים מונובלוק דגם "ברקת" תוצרת חמת גוון לבן</t>
    </r>
  </si>
  <si>
    <t>07.020.0002</t>
  </si>
  <si>
    <r>
      <rPr>
        <sz val="11"/>
        <rFont val="Calibri"/>
      </rPr>
      <t>אספקה והתקנה של אסלה מונובלוק תלוי דגם "OPTIMA" תוצרת חרסה בגוון לבן מושב אסלה ECO PLUS</t>
    </r>
  </si>
  <si>
    <t>07.020.0004</t>
  </si>
  <si>
    <r>
      <rPr>
        <sz val="11"/>
        <rFont val="Calibri"/>
      </rPr>
      <t>אספקה והתקנה של כיור נגיש דגם "קליר 45" מק"ט 402013 תוצרת חמת</t>
    </r>
  </si>
  <si>
    <t>07.020.0005</t>
  </si>
  <si>
    <r>
      <rPr>
        <sz val="11"/>
        <rFont val="Calibri"/>
      </rPr>
      <t>אספקה והתקנה של ברז קיר לכיור חדר רופא/ מבואת שירותים דגם " CLEAR 305301" פיה קצרה 200מ"מ תוצרת חמת גוון ניקל כרום כולל מערכת קיר</t>
    </r>
  </si>
  <si>
    <t>07.020.0006</t>
  </si>
  <si>
    <r>
      <rPr>
        <sz val="11"/>
        <rFont val="Calibri"/>
      </rPr>
      <t>אספקה והתקנה של ברז מטבח דגם "אוורסט 302853" פיה ארוכה מסתובבת, ניקל כרום, תוצרת חמת. (צוות, פיזיותרפיה, צוות בימ)</t>
    </r>
  </si>
  <si>
    <t>07.020.0007</t>
  </si>
  <si>
    <r>
      <rPr>
        <sz val="11"/>
        <rFont val="Calibri"/>
      </rPr>
      <t>אספקה והתקנה של ברז מטבח דגם "אוורסט 300853" פיה ארוכה מסתובבת, ידית מרפק, ניקל כרום, תוצרת חמת. (אחיות,עיקור, מיהול בימ)</t>
    </r>
  </si>
  <si>
    <t>07.020.0008</t>
  </si>
  <si>
    <r>
      <rPr>
        <sz val="11"/>
        <rFont val="Calibri"/>
      </rPr>
      <t>אספקה והתקנה של ברז מטבח דגם "קליר 305343" פיה בינונית מסתובבת, ניקל כרום, תוצרת חמת. (מבואת שירותים)</t>
    </r>
  </si>
  <si>
    <t>07.020.0009</t>
  </si>
  <si>
    <r>
      <rPr>
        <sz val="11"/>
        <rFont val="Calibri"/>
      </rPr>
      <t>אספקה והתקנה של ברז נגיש דגם "קליר 305331" פיה קצרה קבועה, ידית מרפק, ניקל כרום תוצרת חמת</t>
    </r>
  </si>
  <si>
    <t>07.020.0010</t>
  </si>
  <si>
    <r>
      <rPr>
        <sz val="11"/>
        <rFont val="Calibri"/>
      </rPr>
      <t>סט מאחזי יד בשירותי נכים כולל ידית אחיזה אנכי ואופקי, מאחז מתרומם, מדף פינות מעוגלות, אלומיניום מצופה PVC לבן בגימור בולט, תוצרת י.שטרן הנדסה.</t>
    </r>
  </si>
  <si>
    <t>07.020.0011</t>
  </si>
  <si>
    <r>
      <rPr>
        <sz val="11"/>
        <rFont val="Calibri"/>
      </rPr>
      <t>משטח שיש אבן קיסר במידות 100/45 סינר 25 ס"מ דגם 1141 + כיור דגם "נופר התקנה תחתונה תוצרת חמת. הכל קומפלט ( מבואת שירותים בימ)</t>
    </r>
  </si>
  <si>
    <t>07.021</t>
  </si>
  <si>
    <t>ברזים, שסתומים ומסננים לקווי מים קרים וחמים</t>
  </si>
  <si>
    <t>07.021.0130</t>
  </si>
  <si>
    <r>
      <rPr>
        <sz val="11"/>
        <rFont val="Calibri"/>
      </rPr>
      <t>ברז ניל קוטר "3/8 או "1/2 מצופה כרום, לרבות ספח הסתעפות T</t>
    </r>
  </si>
  <si>
    <t>07.026</t>
  </si>
  <si>
    <t>ברזים "פולירול" מפוליפרופילן PP-R לקווי מים קרים וחמים</t>
  </si>
  <si>
    <t>07.026.0020</t>
  </si>
  <si>
    <r>
      <rPr>
        <sz val="11"/>
        <rFont val="Calibri"/>
      </rPr>
      <t>ברזים כדוריים "פולירול" עשויים פוליפרופילן PP-R משולב עם פליז תוצרת "חוליות" או ש"ע, חיבור בריתוך, קוטר 25 מ"מ, ללחץ עבודה 20 אטמ'</t>
    </r>
  </si>
  <si>
    <t>07.026.0030</t>
  </si>
  <si>
    <r>
      <rPr>
        <sz val="11"/>
        <rFont val="Calibri"/>
      </rPr>
      <t>ברזים כדוריים "פולירול" עשויים פוליפרופילן PP-R משולב עם פליז תוצרת "חוליות" או ש"ע, חיבור בריתוך, קוטר 32 מ"מ, ללחץ עבודה 20 אטמ'</t>
    </r>
  </si>
  <si>
    <t>07.031</t>
  </si>
  <si>
    <t>צינורות למערכת נקזים</t>
  </si>
  <si>
    <t>07.031.0368</t>
  </si>
  <si>
    <r>
      <rPr>
        <sz val="11"/>
        <rFont val="Calibri"/>
      </rPr>
      <t>צינורות פוליפרופילן תלת שכבתיים דגם "Ultra Silent" או "Triplus" או ש"ע (קו שקט) מותקנים גלויים, קוטר 50 מ"מ, לרבות מחברים, ללא ספחים</t>
    </r>
  </si>
  <si>
    <t>07.031.0371</t>
  </si>
  <si>
    <r>
      <rPr>
        <sz val="11"/>
        <rFont val="Calibri"/>
      </rPr>
      <t>צינורות פוליפרופילן תלת שכבתיים דגם "Ultra Silent" או "Triplus" או ש"ע (קו שקט) מותקנים גלויים, קוטר 110 מ"מ, לרבות מחברים, ללא ספחים</t>
    </r>
  </si>
  <si>
    <t>07.031.0401</t>
  </si>
  <si>
    <r>
      <rPr>
        <sz val="11"/>
        <rFont val="Calibri"/>
      </rPr>
      <t>צינורות פוליאתילן בצפיפות גבוהה (H.D.P.E) דוגמת "גבריט" או "מובילית" או ש"ע, מותקנים סמויים, קוטר 50 מ"מ, לרבות מחברים, ללא ספחים</t>
    </r>
  </si>
  <si>
    <t>07.031.0997</t>
  </si>
  <si>
    <r>
      <rPr>
        <sz val="11"/>
        <rFont val="Calibri"/>
      </rPr>
      <t>התחברות של צינור שפכים/ניקוז חדש מפוליאתילן בצפיפות גבוהה (H.D.P.E) קוטר 110 מ"מ לצינור קיים קוטר 110 מ"מ, לרבות חיתוך הצינור הקיים, ספחים (מעבר קוטר,מופות לריתוך, הסתעפות) וחיבור</t>
    </r>
  </si>
  <si>
    <t>07.031.1000</t>
  </si>
  <si>
    <r>
      <rPr>
        <sz val="11"/>
        <rFont val="Calibri"/>
      </rPr>
      <t>התחברות של צינור שפכים/ניקוז חדש מפוליאתילן בצפיפות גבוהה (H.D.P.E) קוטר 50 מ"מ לצינור קיים קוטר 110 מ"מ, לרבות חיתוך הצינור הקיים, הסתעפות, מעבר קוטר, מופות לריתוך וחיבור</t>
    </r>
  </si>
  <si>
    <t>07.034</t>
  </si>
  <si>
    <t>מחסומי רצפה, סיפונים למזגנים ותעלות ניקוז</t>
  </si>
  <si>
    <t>07.034.0045</t>
  </si>
  <si>
    <r>
      <rPr>
        <sz val="11"/>
        <rFont val="Calibri"/>
      </rPr>
      <t>מחסומי רצפה 110/50 מ"מ מפוליאתילן בצפיפות גבוהה (H.D.P.E) עם מכסה/רשת פליז</t>
    </r>
  </si>
  <si>
    <t>07.034.0400</t>
  </si>
  <si>
    <r>
      <rPr>
        <sz val="11"/>
        <rFont val="Calibri"/>
      </rPr>
      <t>קופסאות בקורת מפוליפרופילן "2/"4 דוגמת "חוליות" או ש"ע עם מכסה פלסטיק</t>
    </r>
  </si>
  <si>
    <t>07.034.0420</t>
  </si>
  <si>
    <r>
      <rPr>
        <sz val="11"/>
        <rFont val="Calibri"/>
      </rPr>
      <t>מאסף רצפה - נפילה "4 מפוליפרופילן דוגמת "חוליות" או ש"ע עם מכסה פלסטיק</t>
    </r>
  </si>
  <si>
    <t>07.049</t>
  </si>
  <si>
    <t>נקודות תברואה לקבועות והתקנה בלבד של קבועות</t>
  </si>
  <si>
    <t>07.049.0700</t>
  </si>
  <si>
    <r>
      <rPr>
        <sz val="11"/>
        <rFont val="Calibri"/>
      </rPr>
      <t>נקודה לניקוז מזגן מפוצל או מיני מרכזי או מערכת VRF, לרבות צינור פוליפרופילן בקוטר 32-40 מ"מ ובאורך עד 4.0 מ' וחיבור למחסום רצפה קיים</t>
    </r>
  </si>
  <si>
    <t>07.075</t>
  </si>
  <si>
    <t>דודי מים חמים חשמליים</t>
  </si>
  <si>
    <t>07.075.0020</t>
  </si>
  <si>
    <r>
      <rPr>
        <sz val="11"/>
        <rFont val="Calibri"/>
      </rPr>
      <t>דודי מים חמים 80 ליטר עם ציפוי אמאייל פנימי ובידוד פוליאוריטן יצוק לרבות כל האביזרים, שסתום אל חוזר "3/4 ושסתום בטחון, חיבור לנקודת מים וחשמל קיימת ותקופת אחריות של 3 שנים</t>
    </r>
  </si>
  <si>
    <t>07.084</t>
  </si>
  <si>
    <t>עמדות וציוד לכיבוי אש בתוך הבניין</t>
  </si>
  <si>
    <t>07.084.0012</t>
  </si>
  <si>
    <r>
      <rPr>
        <sz val="11"/>
        <rFont val="Calibri"/>
      </rPr>
      <t>עמדת כיבוי אש תקנית, מותקנת בתוך ארון פיברגלס (הנמדד בנפרד), המותקן על קיר, לרבות ברז שריפה "2 עם מצמד שטורץ, 2 זרנוקים בקוטר "2 ובאורך 15 מ' עם מצמדישטורץ, מזנק סילון/ריסוס "2, רב שימושי עם מצמד "2, ברז כדורי "1, גלגלון עם צינור גמיש קוטר "3/4 באורך 30 מ', חיבור לקו המים ושילוט "אש" לזיהוי, מותקןמושלם</t>
    </r>
  </si>
  <si>
    <t>07.084.0210</t>
  </si>
  <si>
    <r>
      <rPr>
        <sz val="11"/>
        <rFont val="Calibri"/>
      </rPr>
      <t>ארון לציוד כיבוי אש מפיברגלס עם דלת נועלת, במידות 120/80/30 ס"מ, מחובר לקיר (מיועד להתקנת גלגלון "3/4 ושני מטפי כיבוי המשולמים בנפרד)</t>
    </r>
  </si>
  <si>
    <t>07.086</t>
  </si>
  <si>
    <t>מתזים (ספרינקלרים)</t>
  </si>
  <si>
    <t>07.086.0042</t>
  </si>
  <si>
    <r>
      <rPr>
        <sz val="11"/>
        <rFont val="Calibri"/>
      </rPr>
      <t>מתז מסוג Upright/Pendant, בועה, כיסוי רגיל (SC), תגובה מהירה (QR), גימור פליז, קוטר "1/2, K=5.6, טמפ' ההפעלה 68 מעלות צלסיוס</t>
    </r>
  </si>
  <si>
    <t>07.086.0610</t>
  </si>
  <si>
    <r>
      <rPr>
        <sz val="11"/>
        <rFont val="Calibri"/>
      </rPr>
      <t>רוזטה כרום שני חלקים למתז "3/4 שקועה בתקרה מונמכת</t>
    </r>
  </si>
  <si>
    <t>07.086.1100</t>
  </si>
  <si>
    <r>
      <rPr>
        <sz val="11"/>
        <rFont val="Calibri"/>
      </rPr>
      <t>חיבור גמיש פלב"מ (נירוסטה) עם עיגון באורך עד 1000 מ"מ לחיבור מתז לתקרה מונמכת</t>
    </r>
  </si>
  <si>
    <t>07.087</t>
  </si>
  <si>
    <t>ספחים ואביזרים למערכת מתזים (ספרינקלרים)</t>
  </si>
  <si>
    <t>07.087.0150</t>
  </si>
  <si>
    <r>
      <rPr>
        <sz val="11"/>
        <rFont val="Calibri"/>
      </rPr>
      <t>מחבר קל מסוג QUICK UP קוטר "4</t>
    </r>
  </si>
  <si>
    <t>07.087.0210</t>
  </si>
  <si>
    <r>
      <rPr>
        <sz val="11"/>
        <rFont val="Calibri"/>
      </rPr>
      <t>ברז אזעקה UL/FM למערכת ספרינקלרים רטובה קוטר "4 לרבות תא בילום, שני מנומטרים, ברז ניקוז "2, פעמון אזעקה עם מנוע מים, אוגנים ושאר המרכיבים הדרושים להתקנה מושלמת</t>
    </r>
  </si>
  <si>
    <t>07.087.0250</t>
  </si>
  <si>
    <r>
      <rPr>
        <sz val="11"/>
        <rFont val="Calibri"/>
      </rPr>
      <t>מפסק לחץ UL/FM להתקנה עם ברז אזעקה (אופציה)</t>
    </r>
  </si>
  <si>
    <t>07.087.0310</t>
  </si>
  <si>
    <r>
      <rPr>
        <sz val="11"/>
        <rFont val="Calibri"/>
      </rPr>
      <t>מפסק זרימה 24 VDC UL/FM (Flowswitches) מותקן על צינור קוטר "2 דגם VSR-SF תוצרת "Potter" או ש"ע</t>
    </r>
  </si>
  <si>
    <t>07.087.0510</t>
  </si>
  <si>
    <r>
      <rPr>
        <sz val="11"/>
        <rFont val="Calibri"/>
      </rPr>
      <t>מגוף פרפר UL/FM עשוי ברזל יציקה קוטר "4</t>
    </r>
  </si>
  <si>
    <t>07.087.0732</t>
  </si>
  <si>
    <r>
      <rPr>
        <sz val="11"/>
        <rFont val="Calibri"/>
      </rPr>
      <t>אל חוזר קומתי קוטר "4 מאושר UL/FM, לרבות סט טרים ומדי לחץ, הכל קומפלט</t>
    </r>
  </si>
  <si>
    <t>07.087.0780</t>
  </si>
  <si>
    <r>
      <rPr>
        <sz val="11"/>
        <rFont val="Calibri"/>
      </rPr>
      <t>מגוף כדורי עשוי ברונזה, מעבר מלא, קוטר "2 עם מחבר שטורץ "2</t>
    </r>
  </si>
  <si>
    <t>07.087.0800</t>
  </si>
  <si>
    <r>
      <rPr>
        <sz val="11"/>
        <rFont val="Calibri"/>
      </rPr>
      <t>ברז בדיקה וניקוז עם חלונית UL/FM קוטר "1</t>
    </r>
  </si>
  <si>
    <t>07.087.0840</t>
  </si>
  <si>
    <r>
      <rPr>
        <sz val="11"/>
        <rFont val="Calibri"/>
      </rPr>
      <t>רגש (מפסק) זרימה מותקן על צינור קוטר "4, מאושר UL/FM, לא כולל חיווט חשמלי הנמדד בנפרד</t>
    </r>
  </si>
  <si>
    <t>07.087.0870</t>
  </si>
  <si>
    <r>
      <rPr>
        <sz val="11"/>
        <rFont val="Calibri"/>
      </rPr>
      <t>פורק לחץ UL/FM קוטר "1/4 לרבות ברז ניתוק</t>
    </r>
  </si>
  <si>
    <t>08</t>
  </si>
  <si>
    <t>מיתקני חשמל</t>
  </si>
  <si>
    <t>08.001</t>
  </si>
  <si>
    <t>מובילים</t>
  </si>
  <si>
    <t>08.001.0010</t>
  </si>
  <si>
    <r>
      <rPr>
        <sz val="11"/>
        <rFont val="Calibri"/>
      </rPr>
      <t>תעלת פח עם מכסה מגולוונת במידות 12X6 ס"מ</t>
    </r>
  </si>
  <si>
    <t>08.001.0020</t>
  </si>
  <si>
    <r>
      <rPr>
        <sz val="11"/>
        <rFont val="Calibri"/>
      </rPr>
      <t>תעלת רשת 20X8.5 ס"מ</t>
    </r>
  </si>
  <si>
    <t>08.001.0050</t>
  </si>
  <si>
    <r>
      <rPr>
        <sz val="11"/>
        <rFont val="Calibri"/>
      </rPr>
      <t>צינור 29 מ"מ מריכף</t>
    </r>
  </si>
  <si>
    <t>08.001.0060</t>
  </si>
  <si>
    <r>
      <rPr>
        <sz val="11"/>
        <rFont val="Calibri"/>
      </rPr>
      <t>תעלת PVC 6X4 ס"מ עם מכסה</t>
    </r>
  </si>
  <si>
    <t>08.002</t>
  </si>
  <si>
    <t>כבלים ומוליכים</t>
  </si>
  <si>
    <t>08.002.0010</t>
  </si>
  <si>
    <r>
      <rPr>
        <sz val="11"/>
        <rFont val="Calibri"/>
      </rPr>
      <t>מוליכי נחושת מבודדי 16 PVC ממ"ר מושחלים בצינורות או מונחים ע"ג תעלות רשת .</t>
    </r>
  </si>
  <si>
    <t>08.002.0020</t>
  </si>
  <si>
    <r>
      <rPr>
        <sz val="11"/>
        <rFont val="Calibri"/>
      </rPr>
      <t>כבלים מסוג N2XY בחתך 5X25 ממ"ר</t>
    </r>
  </si>
  <si>
    <t>08.002.0025</t>
  </si>
  <si>
    <r>
      <rPr>
        <sz val="11"/>
        <rFont val="Calibri"/>
      </rPr>
      <t>כבלים מסוג N2XY בחתך 3X1.5 ממ"ר</t>
    </r>
  </si>
  <si>
    <t>08.002.0090</t>
  </si>
  <si>
    <r>
      <rPr>
        <sz val="11"/>
        <rFont val="Calibri"/>
      </rPr>
      <t>כבל מחשב CAT7</t>
    </r>
  </si>
  <si>
    <t>08.002.0100</t>
  </si>
  <si>
    <r>
      <rPr>
        <sz val="11"/>
        <rFont val="Calibri"/>
      </rPr>
      <t>כבל גילוי אש 4X2X0.8</t>
    </r>
  </si>
  <si>
    <t>08.002.0110</t>
  </si>
  <si>
    <r>
      <rPr>
        <sz val="11"/>
        <rFont val="Calibri"/>
      </rPr>
      <t>כבל טלפון 20X2X0.8</t>
    </r>
  </si>
  <si>
    <t>08.002.0120</t>
  </si>
  <si>
    <r>
      <rPr>
        <sz val="11"/>
        <rFont val="Calibri"/>
      </rPr>
      <t>כבל 5X4NHXH</t>
    </r>
  </si>
  <si>
    <t>08.002.0130</t>
  </si>
  <si>
    <r>
      <rPr>
        <sz val="11"/>
        <rFont val="Calibri"/>
      </rPr>
      <t>כבל 5X1.5NHXH</t>
    </r>
  </si>
  <si>
    <t>08.003</t>
  </si>
  <si>
    <t>חפירות יציקות ובניות</t>
  </si>
  <si>
    <t>08.003.0010</t>
  </si>
  <si>
    <r>
      <rPr>
        <sz val="11"/>
        <rFont val="Calibri"/>
      </rPr>
      <t>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t>
    </r>
  </si>
  <si>
    <t>08.003.0020</t>
  </si>
  <si>
    <r>
      <rPr>
        <sz val="11"/>
        <rFont val="Calibri"/>
      </rPr>
      <t>פתח בקיר בטון או בלוקים בקוטר " 4 כולל איטום נגד אש לאחר סיום העברת תשתיות</t>
    </r>
  </si>
  <si>
    <t>08.004</t>
  </si>
  <si>
    <t>הארקות והגנות</t>
  </si>
  <si>
    <t>08.004.0010</t>
  </si>
  <si>
    <r>
      <rPr>
        <sz val="11"/>
        <rFont val="Calibri"/>
      </rPr>
      <t>פס השוואת פוטנציאלים מנחושת בחתך של 4X40 מ"מ, ע"ג מבודדים, לרבות חיבור כל מוליכי ההארקה אליו, לרבות חיבור מוליך הארקה מפס השוואת הפוטנציאלים הראשי הפסיהיה לעד 25 ברגים.</t>
    </r>
  </si>
  <si>
    <t>08.004.0020</t>
  </si>
  <si>
    <r>
      <rPr>
        <sz val="11"/>
        <rFont val="Calibri"/>
      </rPr>
      <t>נקודת הארקה לרבות מוליך 16 ממ"ר מבודד PVC ואביזר חיבור לתקרה , משקוף , תעלת רשת וכל שירות מתכתי אחר במתקן החשמל</t>
    </r>
  </si>
  <si>
    <t>נק'</t>
  </si>
  <si>
    <t>08.004.0030</t>
  </si>
  <si>
    <r>
      <rPr>
        <sz val="11"/>
        <rFont val="Calibri"/>
      </rPr>
      <t>נקודת מחבר הארקה לרבות מוליך 4 ממ"ר מבודד PVC ואביזר שקע ותקע בננה</t>
    </r>
  </si>
  <si>
    <t>08.005</t>
  </si>
  <si>
    <t>לוחות חשמל</t>
  </si>
  <si>
    <t>08.005.0010</t>
  </si>
  <si>
    <r>
      <rPr>
        <sz val="11"/>
        <rFont val="Calibri"/>
      </rPr>
      <t>מבנה ללוח מפח דקופריט בעובי 2 מ"מ לפחות, ע"פ המפרט במידות אשר יתאימו להתקנתו באתר ללא ביצוע שינויים. המחיר כולל את כל הציוד הפנימי בלוח לרבות מהדקים,פ"צ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 תוספת מחיר.</t>
    </r>
  </si>
  <si>
    <t>08.005.0120</t>
  </si>
  <si>
    <r>
      <rPr>
        <sz val="11"/>
        <rFont val="Calibri"/>
      </rPr>
      <t>מאמ"ט 3X80A עם סליל חירום</t>
    </r>
  </si>
  <si>
    <t>08.005.0125</t>
  </si>
  <si>
    <r>
      <rPr>
        <sz val="11"/>
        <rFont val="Calibri"/>
      </rPr>
      <t>מאמ"ט 3X80A עם סליל חירום שיותקן בלוח קיים</t>
    </r>
  </si>
  <si>
    <t>08.005.0126</t>
  </si>
  <si>
    <r>
      <rPr>
        <sz val="11"/>
        <rFont val="Calibri"/>
      </rPr>
      <t>מאמ"ט 3X4A</t>
    </r>
  </si>
  <si>
    <t>08.005.0150</t>
  </si>
  <si>
    <r>
      <rPr>
        <sz val="11"/>
        <rFont val="Calibri"/>
      </rPr>
      <t>מא"ז חד קטבי לזרם של עד 25 אמפר בעל כושר ניתוק 10KA .</t>
    </r>
  </si>
  <si>
    <t>08.005.0155</t>
  </si>
  <si>
    <r>
      <rPr>
        <sz val="11"/>
        <rFont val="Calibri"/>
      </rPr>
      <t>מא"ז דו קטבי לזרם של עד 25 אמפר בעל כושר ניתוק 10KA עם נעילה במצב OFF.</t>
    </r>
  </si>
  <si>
    <t>08.005.0165</t>
  </si>
  <si>
    <r>
      <rPr>
        <sz val="11"/>
        <rFont val="Calibri"/>
      </rPr>
      <t>מא"ז תלת קטבי לזרם של 40 אמפר בעל כושר ניתוק 10KA .</t>
    </r>
  </si>
  <si>
    <t>08.005.0200</t>
  </si>
  <si>
    <r>
      <rPr>
        <sz val="11"/>
        <rFont val="Calibri"/>
      </rPr>
      <t>ממסר פחת 4X40A/0.03A</t>
    </r>
  </si>
  <si>
    <t>08.005.0210</t>
  </si>
  <si>
    <r>
      <rPr>
        <sz val="11"/>
        <rFont val="Calibri"/>
      </rPr>
      <t>נורית סימון לד עם עדשה בצבעים שונים</t>
    </r>
  </si>
  <si>
    <t>08.005.0220</t>
  </si>
  <si>
    <r>
      <rPr>
        <sz val="11"/>
        <rFont val="Calibri"/>
      </rPr>
      <t>איטום הלוח לאחר התקנות עבור מערכת כיבוי בגז בפוליאורטן מוקצף</t>
    </r>
  </si>
  <si>
    <t>08.005.0230</t>
  </si>
  <si>
    <r>
      <rPr>
        <sz val="11"/>
        <rFont val="Calibri"/>
      </rPr>
      <t>מגען AC-3 לזרם תלת מופעי 80A</t>
    </r>
  </si>
  <si>
    <t>08.005.0250</t>
  </si>
  <si>
    <r>
      <rPr>
        <sz val="11"/>
        <rFont val="Calibri"/>
      </rPr>
      <t>ממסר ISO 6IO</t>
    </r>
  </si>
  <si>
    <t>08.005.0251</t>
  </si>
  <si>
    <r>
      <rPr>
        <sz val="11"/>
        <rFont val="Calibri"/>
      </rPr>
      <t>מגען תלת קטבי AC-3 לזרם עד 16A</t>
    </r>
  </si>
  <si>
    <t>08.005.0252</t>
  </si>
  <si>
    <r>
      <rPr>
        <sz val="11"/>
        <rFont val="Calibri"/>
      </rPr>
      <t>שעון שבת עם רזרבה ל-24 שעות</t>
    </r>
  </si>
  <si>
    <t>08.005.0253</t>
  </si>
  <si>
    <r>
      <rPr>
        <sz val="11"/>
        <rFont val="Calibri"/>
      </rPr>
      <t>בורר חד קטבי תלת מצבי לזרם עד 10A</t>
    </r>
  </si>
  <si>
    <t>08.005.0255</t>
  </si>
  <si>
    <r>
      <rPr>
        <sz val="11"/>
        <rFont val="Calibri"/>
      </rPr>
      <t>רב מודד ELNET LT כולל משני זרם 100/5A</t>
    </r>
  </si>
  <si>
    <t>08.005.0258</t>
  </si>
  <si>
    <r>
      <rPr>
        <sz val="11"/>
        <rFont val="Calibri"/>
      </rPr>
      <t>ממסר צעד חד קוטבי 16 אמפר 230 וולט סליל</t>
    </r>
  </si>
  <si>
    <t>08.006</t>
  </si>
  <si>
    <t>נקודות ואביזרים</t>
  </si>
  <si>
    <t>08.006.0010</t>
  </si>
  <si>
    <r>
      <rPr>
        <sz val="11"/>
        <rFont val="Calibri"/>
      </rPr>
      <t>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t>
    </r>
  </si>
  <si>
    <t>הערה</t>
  </si>
  <si>
    <r>
      <rPr>
        <sz val="11"/>
        <rFont val="Calibri"/>
      </rPr>
      <t>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t>
    </r>
  </si>
  <si>
    <t>08.006.0080</t>
  </si>
  <si>
    <r>
      <rPr>
        <sz val="11"/>
        <rFont val="Calibri"/>
      </rPr>
      <t>נקודה למזגן לרבות כבל 5X2.5 N2XY מונח ע"ג תעלוח רשת שתומחרו בנפרד ולרבות אביזר מסוג פקט ליד המעבה</t>
    </r>
  </si>
  <si>
    <t>08.006.0090</t>
  </si>
  <si>
    <r>
      <rPr>
        <sz val="11"/>
        <rFont val="Calibri"/>
      </rPr>
      <t>נקודה למזגן לרבות כבל 3X2.5 N2XY מונח ע"ג תעלוח רשת שתומחרו בנפרד ולרבות אביזר מסוג פקט ליד היחידה חיצונית או פנימית</t>
    </r>
  </si>
  <si>
    <t>08.006.0140</t>
  </si>
  <si>
    <r>
      <rPr>
        <sz val="11"/>
        <rFont val="Calibri"/>
      </rPr>
      <t>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t>
    </r>
  </si>
  <si>
    <t>08.006.0145</t>
  </si>
  <si>
    <r>
      <rPr>
        <sz val="11"/>
        <rFont val="Calibri"/>
      </rPr>
      <t>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t>
    </r>
  </si>
  <si>
    <t>08.006.0146</t>
  </si>
  <si>
    <r>
      <rPr>
        <sz val="11"/>
        <rFont val="Calibri"/>
      </rPr>
      <t>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t>
    </r>
  </si>
  <si>
    <t>08.006.0160</t>
  </si>
  <si>
    <r>
      <rPr>
        <sz val="11"/>
        <rFont val="Calibri"/>
      </rPr>
      <t>נקודות רמקול/ גלאי אש לרבות צנור בקוטר 19 מ"מ וכבל תקני לגילוי אש וכריזה משולבים</t>
    </r>
  </si>
  <si>
    <t>08.006.0200</t>
  </si>
  <si>
    <r>
      <rPr>
        <sz val="11"/>
        <rFont val="Calibri"/>
      </rPr>
      <t>נקודת ח"ק לרבות כבל 3X2.5N2XYו-2 אביזרי גוויס תה"ט</t>
    </r>
  </si>
  <si>
    <t>08.006.0210</t>
  </si>
  <si>
    <r>
      <rPr>
        <sz val="11"/>
        <rFont val="Calibri"/>
      </rPr>
      <t>נקודת ח"ק לרבות כבל 3X2.5N2XY ואביזר שקע גוויס כפול מוגן מים IP-55 תה"ט</t>
    </r>
  </si>
  <si>
    <t>08.006.0240</t>
  </si>
  <si>
    <r>
      <rPr>
        <sz val="11"/>
        <rFont val="Calibri"/>
      </rPr>
      <t>נקודת מתח נמוך מאוד לרבות צינור מריכף עד 25 מ"מ עם חוט השחלה מניילון ללא אביזר קצה כהכנה לגלאי פריצה , מקודדים דלתות וכו'</t>
    </r>
  </si>
  <si>
    <t>08.006.0260</t>
  </si>
  <si>
    <r>
      <rPr>
        <sz val="11"/>
        <rFont val="Calibri"/>
      </rPr>
      <t>נקודת USB לרבות צינור 25 מריכף עם כבל CAT7</t>
    </r>
  </si>
  <si>
    <t>08.006.0270</t>
  </si>
  <si>
    <r>
      <rPr>
        <sz val="11"/>
        <rFont val="Calibri"/>
      </rPr>
      <t>נקודת TV לרבות צינור 25 מריכף עם חוט השחלה ואביזר אנטנה תורת גוויס תה"ט</t>
    </r>
  </si>
  <si>
    <t>08.006.0290</t>
  </si>
  <si>
    <r>
      <rPr>
        <sz val="11"/>
        <rFont val="Calibri"/>
      </rPr>
      <t>נקודת טרמוסטט למזגן לרבות צינור 19 מ"מ עם חוט השחלה וסיום בקופסא 55 מ"מ תה"ט</t>
    </r>
  </si>
  <si>
    <t>08.006.0300</t>
  </si>
  <si>
    <r>
      <rPr>
        <sz val="11"/>
        <rFont val="Calibri"/>
      </rPr>
      <t>נקודת תריס גלילה לרבות מפסק דו כיווני וכבל 3X2.5N2XY</t>
    </r>
  </si>
  <si>
    <t>08.006.0310</t>
  </si>
  <si>
    <r>
      <rPr>
        <sz val="11"/>
        <rFont val="Calibri"/>
      </rPr>
      <t>נקודת דוד מים חמים לרבות כבל 3X2.5N2XY , מפסק דו קטבי מואר ומפסק פקט 2X16A ליד יחידת הדוד כולל חיבור לגוף החימום הכל קומפלט</t>
    </r>
  </si>
  <si>
    <t>08.006.0320</t>
  </si>
  <si>
    <r>
      <rPr>
        <sz val="11"/>
        <rFont val="Calibri"/>
      </rPr>
      <t>נקודת מפוח עשן לרבות כבל עד 5X2.5NHXH</t>
    </r>
  </si>
  <si>
    <t>08.006.0340</t>
  </si>
  <si>
    <r>
      <rPr>
        <sz val="11"/>
        <rFont val="Calibri"/>
      </rPr>
      <t>נקודת בית תקע עם כבל 3X2.5N2XY שקע 3X16A CEE</t>
    </r>
  </si>
  <si>
    <t>08.006.0341</t>
  </si>
  <si>
    <r>
      <rPr>
        <sz val="11"/>
        <rFont val="Calibri"/>
      </rPr>
      <t>נקודה חשמל לשלט חיצוני</t>
    </r>
  </si>
  <si>
    <t>08.007</t>
  </si>
  <si>
    <t>גופי תאורה</t>
  </si>
  <si>
    <t>08.007.0001</t>
  </si>
  <si>
    <r>
      <rPr>
        <sz val="11"/>
        <rFont val="Calibri"/>
      </rPr>
      <t>הערה- יש להגיש עם הצעה פרוט טכני לגבי גופי תאורה המופיעים בתוכנית, גופי תאורה חייבים להיות בעלי תו תקן / סימן השגחה .</t>
    </r>
  </si>
  <si>
    <t>08.007.0002</t>
  </si>
  <si>
    <r>
      <rPr>
        <sz val="11"/>
        <rFont val="Calibri"/>
      </rPr>
      <t>הערה: כל גופי התאורה כוללים נורות.</t>
    </r>
  </si>
  <si>
    <t>08.007.0003</t>
  </si>
  <si>
    <r>
      <rPr>
        <sz val="11"/>
        <rFont val="Calibri"/>
      </rPr>
      <t>הערה: כל גופי תאורת החרום כוללים מטען ומצבר לאספקה בחרום של 90 דקות לפחות.</t>
    </r>
  </si>
  <si>
    <t>08.007.0010</t>
  </si>
  <si>
    <r>
      <rPr>
        <sz val="11"/>
        <rFont val="Calibri"/>
      </rPr>
      <t>גוף תאורת חרום כדוגמת תוצרת "געש" עם נורת לד עם שלט "יציאה" כולל מטען מצבר הכל שנדרש לעבודה תקינה במשך 90</t>
    </r>
  </si>
  <si>
    <t>08.007.0035</t>
  </si>
  <si>
    <r>
      <rPr>
        <sz val="11"/>
        <rFont val="Calibri"/>
      </rPr>
      <t>גוף תאורה תוצרת געש דגם פיקס לד 11W עם כיסוי זכוכית מוגבהת .</t>
    </r>
  </si>
  <si>
    <t>08.007.0036</t>
  </si>
  <si>
    <r>
      <rPr>
        <sz val="11"/>
        <rFont val="Calibri"/>
      </rPr>
      <t>גוף תאורה תוצרת געש דגם פיקס לד 13W עם כיסוי זכוכית מוגבהת .</t>
    </r>
  </si>
  <si>
    <t>08.007.0040</t>
  </si>
  <si>
    <r>
      <rPr>
        <sz val="11"/>
        <rFont val="Calibri"/>
      </rPr>
      <t>גוף תאורה חד תכליתי מתוצרת MACWELL דגם XYLUX עם מכלול חירום ונורת לד לפי תקן 20 חלק 2</t>
    </r>
  </si>
  <si>
    <t>08.007.0050</t>
  </si>
  <si>
    <r>
      <rPr>
        <sz val="11"/>
        <rFont val="Calibri"/>
      </rPr>
      <t>פנלד 30 ווט שקוע בתקרה אקוסטית</t>
    </r>
  </si>
  <si>
    <t>08.007.0060</t>
  </si>
  <si>
    <r>
      <rPr>
        <sz val="11"/>
        <rFont val="Calibri"/>
      </rPr>
      <t>סטריפלד 20 ווט למטר לרבות אביזרי חיבור התקנה , חיבר ודרייבירים</t>
    </r>
  </si>
  <si>
    <t>08.008</t>
  </si>
  <si>
    <t>שונות</t>
  </si>
  <si>
    <t>08.008.0010</t>
  </si>
  <si>
    <r>
      <rPr>
        <sz val="11"/>
        <rFont val="Calibri"/>
      </rPr>
      <t>שעת עבודה ברגי' של חשמלאי מוסמך / עוזר באישור המפקח .</t>
    </r>
  </si>
  <si>
    <t>ש"ע</t>
  </si>
  <si>
    <t>08.008.0020</t>
  </si>
  <si>
    <r>
      <rPr>
        <sz val="11"/>
        <rFont val="Calibri"/>
      </rPr>
      <t>בקורת מהנדס בודק למתקן המבוצע בנוכחות של לפחות "חשמלאי עוזר" ו-"חשמלאי מוסמך", כולל כל ההוצאות.</t>
    </r>
  </si>
  <si>
    <t>08.008.0030</t>
  </si>
  <si>
    <r>
      <rPr>
        <sz val="11"/>
        <rFont val="Calibri"/>
      </rPr>
      <t>פירוק מתקני חשמל ומתח נמוך מאוד בפרויקט כולל כל אשר יידרש וסילוק הפסולת למטמנה מאושרת</t>
    </r>
  </si>
  <si>
    <t>08.008.0050</t>
  </si>
  <si>
    <r>
      <rPr>
        <sz val="11"/>
        <rFont val="Calibri"/>
      </rPr>
      <t>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t>
    </r>
  </si>
  <si>
    <t>08.008.0060</t>
  </si>
  <si>
    <r>
      <rPr>
        <sz val="11"/>
        <rFont val="Calibri"/>
      </rPr>
      <t>אל פסק 6KVA לזמן גיבוי 24 שעות כולל מצברים , חיבור שקע / תקע CEE , BY PASS והתראות אורקוליות למצבי תקלה
(גיבוי מקרר בית מרקחת וחדר אחיות)</t>
    </r>
  </si>
  <si>
    <t>10</t>
  </si>
  <si>
    <t>עבודות ריצוף וחיפוי</t>
  </si>
  <si>
    <t>10.001</t>
  </si>
  <si>
    <t>ריצוף</t>
  </si>
  <si>
    <t>10.001.0040</t>
  </si>
  <si>
    <r>
      <rPr>
        <sz val="11"/>
        <rFont val="Calibri"/>
      </rPr>
      <t>ריצוף באריח גרניט פורצלן במידות 80/80ס"מ לפי רשימת הגמרים של לאומית</t>
    </r>
  </si>
  <si>
    <t>10.001.0050</t>
  </si>
  <si>
    <r>
      <rPr>
        <sz val="11"/>
        <rFont val="Calibri"/>
      </rPr>
      <t>שיפולים במידות 80/10לריצוף הנ"ל</t>
    </r>
  </si>
  <si>
    <t>10.001.0060</t>
  </si>
  <si>
    <r>
      <rPr>
        <sz val="11"/>
        <rFont val="Calibri"/>
      </rPr>
      <t>סף אלומוניום למעבר בין ריצוף חדש לישן</t>
    </r>
  </si>
  <si>
    <t>10.001.0070</t>
  </si>
  <si>
    <r>
      <rPr>
        <sz val="11"/>
        <rFont val="Calibri"/>
      </rPr>
      <t>ריצוף באריח גרניט פורצלן במידות 60/60ס"מ R10תוצרת חדש דגם "גרניסר גינסבון" לפי רשימת הגמרים של לאומית</t>
    </r>
  </si>
  <si>
    <t>10.002</t>
  </si>
  <si>
    <t>חיפוי</t>
  </si>
  <si>
    <t>10.002.0020</t>
  </si>
  <si>
    <r>
      <rPr>
        <sz val="11"/>
        <rFont val="Calibri"/>
      </rPr>
      <t>חיפוי קיר מעל משטחי עבודה 20/60ס"מ לבן מבריק לפי רשימת גמרים "לאומית" המצורפת למסמכי המכרז</t>
    </r>
  </si>
  <si>
    <t>10.002.0030</t>
  </si>
  <si>
    <r>
      <rPr>
        <sz val="11"/>
        <rFont val="Calibri"/>
      </rPr>
      <t>חיפוי זכוכית מחוסמת בגב מתקן תמי 4בזכוכית אקסטרה קליר לבן מט</t>
    </r>
  </si>
  <si>
    <t>10.002.0040</t>
  </si>
  <si>
    <r>
      <rPr>
        <sz val="11"/>
        <rFont val="Calibri"/>
      </rPr>
      <t>חיפוי באריחי גרניט פורצלן במידות 30/60לפי רשימת גמרים "לאומית" המצורפת למסמכי המכרז</t>
    </r>
  </si>
  <si>
    <t>10.002.0050</t>
  </si>
  <si>
    <r>
      <rPr>
        <sz val="11"/>
        <rFont val="Calibri"/>
      </rPr>
      <t>מראות קריסטל בלגיות סוג א' בעובי 6מ"מ במידות 40/80 ס"מ לרבות פזות מלוטשות, מותקנים על גבי גב דיקט בעובי 8מ"מ ומחוברים לקיר ע"י ברגים ואו בהדבקה במישור החיפוי. (חדרי רופא, מבואת שירותים)</t>
    </r>
  </si>
  <si>
    <t>10.002.0051</t>
  </si>
  <si>
    <r>
      <rPr>
        <sz val="11"/>
        <rFont val="Calibri"/>
      </rPr>
      <t>מראות קריסטל בלגיות סוג א' בעובי 6מ"מ במידות 50/90 ס"מ לרבות פזות מלוטשות, מותקנים על גבי גב דיקט בעובי 8מ"מ ומחוברים לקיר ע"י ברגים ואו בהדבקה במישור החיפוי. (ש. נכים)</t>
    </r>
  </si>
  <si>
    <t>10.003</t>
  </si>
  <si>
    <t>תוספת לעבודות ריצוף וחיפוי</t>
  </si>
  <si>
    <t>10.003.0010</t>
  </si>
  <si>
    <r>
      <rPr>
        <sz val="11"/>
        <rFont val="Calibri"/>
      </rPr>
      <t>תוספת עבור מילוי מתחת לריצוף על ידי שכבת שומשום.</t>
    </r>
  </si>
  <si>
    <t>מ"ק</t>
  </si>
  <si>
    <t>11</t>
  </si>
  <si>
    <t>צבע</t>
  </si>
  <si>
    <t>11.001</t>
  </si>
  <si>
    <t>11.001.0010</t>
  </si>
  <si>
    <r>
      <rPr>
        <sz val="11"/>
        <rFont val="Calibri"/>
      </rPr>
      <t>צביעה בצבע סופרקריל 3שכבות על טיח ,גבס קירות ותקרה בגוון עפ"י אישור המזמין. הבצוע כולל שפכטל מלא ע"ג הקירות . הבצוע כולל שילוב של מספר גוונים עפ"י תוכניות האדריכל כולל על אותו הקיר .</t>
    </r>
  </si>
  <si>
    <t>12</t>
  </si>
  <si>
    <t>אלומיניום</t>
  </si>
  <si>
    <t>12.001</t>
  </si>
  <si>
    <t>חלונות ודלתות</t>
  </si>
  <si>
    <t>12.001.0010</t>
  </si>
  <si>
    <r>
      <rPr>
        <sz val="11"/>
        <rFont val="Calibri"/>
      </rPr>
      <t>פריט A 901ברשימות האלומיניום הכל כולל הכל, לפי מפרט לאומית.</t>
    </r>
  </si>
  <si>
    <t>12.001.0030</t>
  </si>
  <si>
    <r>
      <rPr>
        <sz val="11"/>
        <rFont val="Calibri"/>
      </rPr>
      <t>פריט A 903ברשימות האלומיניום הכל כולל הכל, לפי מפרט לאומית.</t>
    </r>
  </si>
  <si>
    <t>12.001.0040</t>
  </si>
  <si>
    <r>
      <rPr>
        <sz val="11"/>
        <rFont val="Calibri"/>
      </rPr>
      <t>פריט A 904ברשימות האלומיניום הכל כולל הכל, לפי מפרט לאומית.</t>
    </r>
  </si>
  <si>
    <t>12.001.0050</t>
  </si>
  <si>
    <r>
      <rPr>
        <sz val="11"/>
        <rFont val="Calibri"/>
      </rPr>
      <t>פריט A 905ברשימות האלומיניום הכל כולל הכל, לפי מפרט לאומית.</t>
    </r>
  </si>
  <si>
    <t>12.001.0060</t>
  </si>
  <si>
    <r>
      <rPr>
        <sz val="11"/>
        <rFont val="Calibri"/>
      </rPr>
      <t>RHS מאחז יד ליד מיטות ממוט אלומיניום מצופה נילון בקוטר 40מ"מ באורך 60ס"מ כולל רוזטות, המחיר כולל התקנה בקיר גבס עם פרופיל</t>
    </r>
  </si>
  <si>
    <t>12.001.0070</t>
  </si>
  <si>
    <r>
      <rPr>
        <sz val="11"/>
        <rFont val="Calibri"/>
      </rPr>
      <t>ציפוי נגד פריצה בעובי 350מיקרון כדוגמת אל-סורג כולל התקנת פרופילים</t>
    </r>
  </si>
  <si>
    <t>15</t>
  </si>
  <si>
    <t>ציוד טיפול באוויר</t>
  </si>
  <si>
    <t>15.001</t>
  </si>
  <si>
    <t>יחידות טיפול באוויר מיני מרכזיות מסוג מפוח נחשון מוזנות מים קרים מותקנות בחלל תקרה מונמכת</t>
  </si>
  <si>
    <t>15.001.0010</t>
  </si>
  <si>
    <r>
      <rPr>
        <sz val="11"/>
        <rFont val="Calibri"/>
      </rPr>
      <t>יחידת מפוח נחשון כדוגמת תוצרת אלקטרה מדגם AWSQ-450 מוזנת מים קרים עשוייה פח מכופף ל- 450 רמל"ד (רגל מעוקב לדקה - CFM) מותקנת בתוך חלל תקרה מונמכת, חיבורה לחשמל ולניקוז, לרבות מסנן לשטיפה, סוללה 4 שורות עומק, גופי חימום חשמליים להספק של 1.8 קוו"ט דרגה אחת, ברז חשמלי ON/OFF ו- 2 ברזי ניתוק, לוחית הפעלה הכוללת שליטה של פעולת היחידה, פעולת המפוח, שליטה על קירור/חימום, צג דיגיטלי לטמפ' הנמדדת בחדר ואינסטלציה חשמלית נדרשת</t>
    </r>
  </si>
  <si>
    <t>15.001.0020</t>
  </si>
  <si>
    <r>
      <rPr>
        <sz val="11"/>
        <rFont val="Calibri"/>
      </rPr>
      <t>יחידת מפוח נחשון כדוגמת תוצרת אלקטרה מדגם AWSQ-600 מוזנת מים קרים עשוייה פח מכופף ל- 600 רמל"ד (רגל מעוקב לדקה - CFM) מותקנת בתוך חלל תקרה מונמכת, חיבורה לחשמל ולניקוז, לרבות מסנן לשטיפה, סוללה 4 שורות עומק, גופי חימום חשמליים להספק של 2.5 קוו"ט דרגה אחת, ברז חשמלי ON/OFF ו- 2 ברזי ניתוק, לוחית הפעלה הכוללת שליטה של פעולת היחידה, פעולת המפוח, שליטה על קירור/חימום, צג דיגיטלי לטמפ' הנמדדת בחדר ואינסטלציה חשמלית נדרשת</t>
    </r>
  </si>
  <si>
    <t>15.001.0030</t>
  </si>
  <si>
    <r>
      <rPr>
        <sz val="11"/>
        <rFont val="Calibri"/>
      </rPr>
      <t>יחידת מפוח נחשון כדוגמת תוצרת אלקטרה מדגם AWSQ-700 מוזנת מים קרים עשוייה פח מכופף ל- 800 רמל"ד (רגל מעוקב לדקה - CFM) מותקנת בתוך חלל תקרה מונמכת, חיבורה לחשמל ולניקוז, לרבות מסנן לשטיפה, סוללה 4 שורות עומק, גופי חימום חשמליים להספק של 3.5 קוו"ט 2 דרגות, ברז חשמלי ON/OFF ו- 2 ברזי ניתוק, לוחית הפעלההכוללת שליטה של פעולת היחידה, פעולת המפוח, שליטה על קירור/חימום, צג דיגיטלי לטמפ' הנמדדת בחדר ואינסטלציה חשמלית נדרשת</t>
    </r>
  </si>
  <si>
    <t>15.001.0050</t>
  </si>
  <si>
    <r>
      <rPr>
        <sz val="11"/>
        <rFont val="Calibri"/>
      </rPr>
      <t>יחידת מפוח נחשון כדוגמת תוצרת אלקטרה מדגם AWSQ-1200מוזנת מים קרים עשוייה פח מכופף ל- 1200 רמל"ד (רגל מעוקב לדקה - CFM) מותקנת בתוך חלל תקרה מונמכת, חיבורה לחשמל ולניקוז, לרבות מסנן לשטיפה, סוללה 4 שורות עומק, גופי חימום חשמליים להספק של 4.5 קוו"ט 2 דרגות, ברז פרופורציונלי ON/OFF ו- 2 ברזי ניתוק, לוחית הפעלה הכוללת שליטה של פעולת היחידה, פעולת המפוח, שליטה על קירור/חימום, צג דיגיטלי לטמפ' הנמדדת בחדר ואינסטלציה חשמלית נדרשת</t>
    </r>
  </si>
  <si>
    <t>15.001.0051</t>
  </si>
  <si>
    <r>
      <rPr>
        <sz val="11"/>
        <rFont val="Calibri"/>
      </rPr>
      <t>רגש טמפרטורה (חדר) לבית מרקחת מותקן על הקיר ברמת דיוק 3% או 0.1 מ"צ עם תצוגה והתראה אורית/קולית</t>
    </r>
  </si>
  <si>
    <t>15.002</t>
  </si>
  <si>
    <t>מפוחים</t>
  </si>
  <si>
    <t>15.002.0720</t>
  </si>
  <si>
    <r>
      <rPr>
        <sz val="11"/>
        <rFont val="Calibri"/>
      </rPr>
      <t>מפוח צנטריפוגלי מותקן על הגג TXF-1 בהספק של 500 מק"ש, 250 פסקל, דגם QUIET כדוגמת "VORTICE" או ש"ע לפי דף הציוד והתכניות.</t>
    </r>
  </si>
  <si>
    <t>15.002.0730</t>
  </si>
  <si>
    <r>
      <rPr>
        <sz val="11"/>
        <rFont val="Calibri"/>
      </rPr>
      <t>מפוח צנטריפוגלי מותקן על הגג GXF-1 בהספק של 580 מק"ש, 250 פסקל, דגם QUIET כדוגמת "VORTICE" או ש"ע לפי דף הציוד והתכניות.</t>
    </r>
  </si>
  <si>
    <t>15.002.0731</t>
  </si>
  <si>
    <r>
      <rPr>
        <sz val="11"/>
        <rFont val="Calibri"/>
      </rPr>
      <t>מפוח צנטריפוגלי מותקן על הגג GXF-2 בהספק של 120 מק"ש, 250 פסקל, דגם QUIET כדוגמת "VORTICE" או ש"ע לפי דף הציוד והתכניות.</t>
    </r>
  </si>
  <si>
    <t>15.003</t>
  </si>
  <si>
    <t>צנרת ואביזריה</t>
  </si>
  <si>
    <t>15.003.0020</t>
  </si>
  <si>
    <r>
      <rPr>
        <sz val="11"/>
        <rFont val="Calibri"/>
      </rPr>
      <t>צנרת שחורה למים קרים/חמים סקדיול 40 קוטר "3/4</t>
    </r>
  </si>
  <si>
    <t>15.003.0030</t>
  </si>
  <si>
    <r>
      <rPr>
        <sz val="11"/>
        <rFont val="Calibri"/>
      </rPr>
      <t>צנרת שחורה למים קרים/חמים סקדיול 40 קוטר "1</t>
    </r>
  </si>
  <si>
    <t>15.003.0035</t>
  </si>
  <si>
    <r>
      <rPr>
        <sz val="11"/>
        <rFont val="Calibri"/>
      </rPr>
      <t>צנרת שחורה למים קרים/חמים סקדיול 40 קוטר "1/4 1</t>
    </r>
  </si>
  <si>
    <t>15.003.0040</t>
  </si>
  <si>
    <r>
      <rPr>
        <sz val="11"/>
        <rFont val="Calibri"/>
      </rPr>
      <t>צנרת שחורה למים קרים/חמים סקדיול 40 קוטר "1/2 1</t>
    </r>
  </si>
  <si>
    <t>15.003.0050</t>
  </si>
  <si>
    <r>
      <rPr>
        <sz val="11"/>
        <rFont val="Calibri"/>
      </rPr>
      <t>צנרת שחורה למים קרים/חמים סקדיול 40 קוטר "2</t>
    </r>
  </si>
  <si>
    <t>15.003.0070</t>
  </si>
  <si>
    <r>
      <rPr>
        <sz val="11"/>
        <rFont val="Calibri"/>
      </rPr>
      <t>צנרת שחורה למים קרים/חמים סקדיול 40 קוטר "3</t>
    </r>
  </si>
  <si>
    <t>15.004</t>
  </si>
  <si>
    <t>מערכות פיזור אוויר</t>
  </si>
  <si>
    <t>15.004.0010</t>
  </si>
  <si>
    <r>
      <rPr>
        <sz val="11"/>
        <rFont val="Calibri"/>
      </rPr>
      <t>תעלות מרובעות מפח מגולוון בעובי פח 0.8 מ"מ</t>
    </r>
  </si>
  <si>
    <t>15.004.0020</t>
  </si>
  <si>
    <r>
      <rPr>
        <sz val="11"/>
        <rFont val="Calibri"/>
      </rPr>
      <t>תעלות מרובעות מפח מגולוון בעובי פח 0.9 מ"מ</t>
    </r>
  </si>
  <si>
    <t>15.004.0130</t>
  </si>
  <si>
    <r>
      <rPr>
        <sz val="11"/>
        <rFont val="Calibri"/>
      </rPr>
      <t>תעלות עגולות מפח מגולוון בעובי פח 0.6 מ"מ</t>
    </r>
  </si>
  <si>
    <t>15.004.0131</t>
  </si>
  <si>
    <r>
      <rPr>
        <sz val="11"/>
        <rFont val="Calibri"/>
      </rPr>
      <t>תוספת לתעלות בפירים של הבניין בעובי 0.8 מ"ר לפי תקן SMACNA</t>
    </r>
  </si>
  <si>
    <t>15.004.0132</t>
  </si>
  <si>
    <r>
      <rPr>
        <sz val="11"/>
        <rFont val="Calibri"/>
      </rPr>
      <t>תוספת לתעלות בגג הבניין בעובי 0.8 מ"ר לפי תקן SMACNA</t>
    </r>
  </si>
  <si>
    <t>15.005</t>
  </si>
  <si>
    <t>בידוד</t>
  </si>
  <si>
    <t>15.005.0100</t>
  </si>
  <si>
    <r>
      <rPr>
        <sz val="11"/>
        <rFont val="Calibri"/>
      </rPr>
      <t>בידוד אביזרים - שסתום, מסנן, אל חוזר וכד' - עם שרוולי "וידופלקס" או ש"ע בעובי "3/4 לרבות סרט הדבקה מ-פי.וי.סי לאביזרים קוטר "1/2</t>
    </r>
  </si>
  <si>
    <t>15.005.0160</t>
  </si>
  <si>
    <r>
      <rPr>
        <sz val="11"/>
        <rFont val="Calibri"/>
      </rPr>
      <t>בידוד אביזרים - שסתום, מסנן, אל חוזר וכד' - עם שרוולי "וידופלקס" או ש"ע בעובי "3/4 לרבות סרט הדבקה מ-פי.וי.סי לאביזרים קוטר "3</t>
    </r>
  </si>
  <si>
    <t>15.005.0260</t>
  </si>
  <si>
    <r>
      <rPr>
        <sz val="11"/>
        <rFont val="Calibri"/>
      </rPr>
      <t>עטיפת פח מגולוון עובי 0.6 מ"מ לצינורות קוטר "1/2 2 עם בידוד בעובי "2</t>
    </r>
  </si>
  <si>
    <t>15.005.0270</t>
  </si>
  <si>
    <r>
      <rPr>
        <sz val="11"/>
        <rFont val="Calibri"/>
      </rPr>
      <t>עטיפת פח מגולוון עובי 0.6 מ"מ לצינורות קוטר "3 עם בידוד בעובי "2</t>
    </r>
  </si>
  <si>
    <t>15.005.0310</t>
  </si>
  <si>
    <r>
      <rPr>
        <sz val="11"/>
        <rFont val="Calibri"/>
      </rPr>
      <t>בידוד לצינורות מים קרים עם שרוולי "וידופלקס" (גומי מוקצף) או ש"ע בעובי "1 לצינורות פלדה קוטר "3/4 (נחושת קוטר "1/6 1), לרבות סרטי הדבקה מ-פי.וי.סי</t>
    </r>
  </si>
  <si>
    <t>15.005.0320</t>
  </si>
  <si>
    <r>
      <rPr>
        <sz val="11"/>
        <rFont val="Calibri"/>
      </rPr>
      <t>בידוד לצינורות מים קרים עם שרוולי "וידופלקס" (גומי מוקצף) או ש"ע בעובי "1 לצינורות פלדה קוטר "1 (נחושת קוטר "3/8 1, פוליאתילן קוטר 32 מ"מ) לרבות סרטיהדבקה מ-פי.וי.סי</t>
    </r>
  </si>
  <si>
    <t>15.005.0330</t>
  </si>
  <si>
    <r>
      <rPr>
        <sz val="11"/>
        <rFont val="Calibri"/>
      </rPr>
      <t>בידוד לצינורות מים קרים עם שרוולי "וידופלקס" (גומי מוקצף) או ש"ע בעובי "1 לצינורות פלדה קוטר "1/4 1 (נחושת קוטר "5/8 1, פוליאתילן קוטר 40 מ"מ) לרבות סרטי הדבקה מ-פי.וי.סי</t>
    </r>
  </si>
  <si>
    <t>15.005.0340</t>
  </si>
  <si>
    <r>
      <rPr>
        <sz val="11"/>
        <rFont val="Calibri"/>
      </rPr>
      <t>בידוד לצינורות מים קרים עם שרוולי "וידופלקס" (גומי מוקצף) או ש"ע בעובי "1 לצינורות פלדה קוטר "1/2 1 לרבות סרטי הדבקה מ-פי.וי.סי</t>
    </r>
  </si>
  <si>
    <t>15.005.0350</t>
  </si>
  <si>
    <r>
      <rPr>
        <sz val="11"/>
        <rFont val="Calibri"/>
      </rPr>
      <t>בידוד לצינורות מים קרים עם שרוולי "וידופלקס" (גומי מוקצף) או ש"ע בעובי "1 לצינורות פלדה קוטר "2 (נחושת קוטר "3/8 2) לרבות סרטי הדבקה מ-פי.וי.סי</t>
    </r>
  </si>
  <si>
    <t>15.005.0351</t>
  </si>
  <si>
    <r>
      <rPr>
        <sz val="11"/>
        <rFont val="Calibri"/>
      </rPr>
      <t>בידוד לצינורות מים חמים עם קליפות סיבי זכוכית חשוף בעובי "2 ללא עטיפת פח, לצינורות קוטר "3 (קוטר חיצוני של הצינור 89 מ"מ)</t>
    </r>
  </si>
  <si>
    <t>15.005.0352</t>
  </si>
  <si>
    <r>
      <rPr>
        <sz val="11"/>
        <rFont val="Calibri"/>
      </rPr>
      <t>מסננים בחיבורי אוגנים לקווי צנרת מים קרים/חמים קוטר "3</t>
    </r>
  </si>
  <si>
    <t>15.005.0353</t>
  </si>
  <si>
    <r>
      <rPr>
        <sz val="11"/>
        <rFont val="Calibri"/>
      </rPr>
      <t>שסתומי שחרור אוויר אוטומטיים קוטר "1/2 לרבות ברזים וצנרת ניקוז</t>
    </r>
  </si>
  <si>
    <t>15.005.0354</t>
  </si>
  <si>
    <r>
      <rPr>
        <sz val="11"/>
        <rFont val="Calibri"/>
      </rPr>
      <t>חדירה לצינור, חיתוך+ריתוך עד 3 תפרים (לא פחות משניים), המדידה לפי אינצ' קוטר צינור חודר</t>
    </r>
  </si>
  <si>
    <t>אינצ'</t>
  </si>
  <si>
    <t>15.005.0355</t>
  </si>
  <si>
    <r>
      <rPr>
        <sz val="11"/>
        <rFont val="Calibri"/>
      </rPr>
      <t>בידוד תרמי לתעלות אוויר עשוי מסיבי זכוכית מטיפוס חצי מוקשה מוגן ע"י רדיד אלומיניום מוחזק בעובי 1"</t>
    </r>
  </si>
  <si>
    <t>15.007</t>
  </si>
  <si>
    <t>תעלות גמישות מאלומיניום לפיזור אוויר</t>
  </si>
  <si>
    <t>15.007.0001</t>
  </si>
  <si>
    <r>
      <rPr>
        <sz val="11"/>
        <rFont val="Calibri"/>
      </rPr>
      <t>תעלה גמישה מאלומיניום קוטר 6" ללא בידוד, עומדת בת"י 755</t>
    </r>
  </si>
  <si>
    <t>15.007.0002</t>
  </si>
  <si>
    <r>
      <rPr>
        <sz val="11"/>
        <rFont val="Calibri"/>
      </rPr>
      <t>תעלה גמישה מאלומיניום קוטר 8" ללא בידוד, עומדת בת"י 755</t>
    </r>
  </si>
  <si>
    <t>15.008</t>
  </si>
  <si>
    <t>אביזרי פיזור אוויר</t>
  </si>
  <si>
    <t>15.008.0170</t>
  </si>
  <si>
    <r>
      <rPr>
        <sz val="11"/>
        <rFont val="Calibri"/>
      </rPr>
      <t>מפזר אוויר תקרתי, בדומה לתוצרת "מטלפרס" HB צבוע בתנור בשטח עד 0.085 מ"ר לרבות וסת כמות אוויר</t>
    </r>
  </si>
  <si>
    <t>15.008.0171</t>
  </si>
  <si>
    <r>
      <rPr>
        <sz val="11"/>
        <rFont val="Calibri"/>
      </rPr>
      <t>מפזר אוויר תקרתי בדומה לתוצרת "מטלפרס" HB צבוע בתנור בשטח מעל 0.085 מ"ר לרבות וסת כמות אוויר</t>
    </r>
  </si>
  <si>
    <t>15.008.0172</t>
  </si>
  <si>
    <r>
      <rPr>
        <sz val="11"/>
        <rFont val="Calibri"/>
      </rPr>
      <t>שבכות אוויר חוזר, צבע בתנור, בשטח עד 0.085 מ"ר</t>
    </r>
  </si>
  <si>
    <t>15.008.0173</t>
  </si>
  <si>
    <r>
      <rPr>
        <sz val="11"/>
        <rFont val="Calibri"/>
      </rPr>
      <t>שבכות אוויר חוזר, צבע בתנור, בשטח מעל 0.085 מ"ר לרבות וסת כמות אוויר</t>
    </r>
  </si>
  <si>
    <t>15.008.0174</t>
  </si>
  <si>
    <r>
      <rPr>
        <sz val="11"/>
        <rFont val="Calibri"/>
      </rPr>
      <t>מדף אוויר לווסות עד שטח 0.25 מ"ר</t>
    </r>
  </si>
  <si>
    <t>22</t>
  </si>
  <si>
    <t>אלמנטים מתועשים</t>
  </si>
  <si>
    <t>22.001</t>
  </si>
  <si>
    <t>מחיצות גבס</t>
  </si>
  <si>
    <t>22.001.0020</t>
  </si>
  <si>
    <r>
      <rPr>
        <sz val="11"/>
        <rFont val="Calibri"/>
      </rPr>
      <t>מחיצות גבס דו קרומיות ) 2פלטות בכל צד- עובי 12.5מ"מ (בעובי כולל של 120מ"מ לרבות מסלול עליון ותחתון מפח מגוולון וניצבים כל 40ס"מ )עובי 0.8מ"מ (,צמרסלעים בעובי " 2לבידוד משקל מרחבי 80ק"ג / מ"ק , כולל שפכטל גמר מוכן לצבע, קומפלט. ) פתחים לא ימדדו בשטח הכללי וינוכו שטחם אם כי יצירת הפתחים כלולה ב</t>
    </r>
  </si>
  <si>
    <t>22.001.0030</t>
  </si>
  <si>
    <r>
      <rPr>
        <sz val="11"/>
        <rFont val="Calibri"/>
      </rPr>
      <t>חיפוי הצד הפנימי של החזיתות בלוחות גבס דו-קרומי, לרבות קונסטרוקציה מפח מגולבן מכופף, ניצבים, מסלולים ו/או פרופילי אומגה מגולבנים או שו"ע, חיזוק לקירותהחיצוניים ועיבודים מסביב לפתחים</t>
    </r>
  </si>
  <si>
    <t>22.001.0040</t>
  </si>
  <si>
    <r>
      <rPr>
        <sz val="11"/>
        <rFont val="Calibri"/>
      </rPr>
      <t>חיזוקים ופרופיל מחוזק או RHSבמשקופי דלתות קומפלט לדלת עפ"י הנחיות אורבונד</t>
    </r>
  </si>
  <si>
    <t>22.001.0050</t>
  </si>
  <si>
    <r>
      <rPr>
        <sz val="11"/>
        <rFont val="Calibri"/>
      </rPr>
      <t>חיזוקים בקירות גבס ככול שנדרש לפי תכנית )כיור שוקת, כיור שירותים, מאחז יד נכים, מסכים(</t>
    </r>
  </si>
  <si>
    <t>22.001.0060</t>
  </si>
  <si>
    <r>
      <rPr>
        <sz val="11"/>
        <rFont val="Calibri"/>
      </rPr>
      <t>חיפוי/סגירה סביב צינורות בלוחות גבס דו-קרומי, לרבות קונסטרוקציה מפח מגולבן מכופף, מזרוני צמר זכוכית בעובי " 3במשקל מרחבי של 24ק"ג/מ"ק ואיטום בקוי המפגש עם משטחים צמודים כגון רצפות,קירות ותקרות, המדידה לפי שטח לוחות הגבס הנראים לעין.</t>
    </r>
  </si>
  <si>
    <t>22.001.0070</t>
  </si>
  <si>
    <r>
      <rPr>
        <sz val="11"/>
        <rFont val="Calibri"/>
      </rPr>
      <t>תוספת למחיצות גבס עבור לוח פח מגולוון בעובי 3 מ"מ המחובר לניצבים של המחיצה למניעת פריצה.</t>
    </r>
  </si>
  <si>
    <t>22.001.0080</t>
  </si>
  <si>
    <r>
      <rPr>
        <sz val="11"/>
        <rFont val="Calibri"/>
      </rPr>
      <t>תוספת מחיר ללוחות הגבס עבור שימוש בלוחות גבס חסין אש )וורוד(, בהתאם לתקן ולתכנית הבטיחות. המדידה לפי שטח נטו של הלוח חסין אש.</t>
    </r>
  </si>
  <si>
    <t>22.002</t>
  </si>
  <si>
    <t>תקרות</t>
  </si>
  <si>
    <t>22.002.0010</t>
  </si>
  <si>
    <r>
      <rPr>
        <sz val="11"/>
        <rFont val="Calibri"/>
      </rPr>
      <t>תקרת גבס לרבות ברוחבים צרים כולל מערכת קונסטרוקציה גמר שפכטל מוכן לצבע</t>
    </r>
  </si>
  <si>
    <t>22.002.0020</t>
  </si>
  <si>
    <r>
      <rPr>
        <sz val="11"/>
        <rFont val="Calibri"/>
      </rPr>
      <t>תקרת אריחי תקרה אקוסטית דוגמת " "FOCUS Aשל אקופון או ש"ע במידות 60/60ס"מ ת בסוג וגוון עפ"י האדריכל - הבצוע . LZכולל גם קונסטרוקציה וחיזוקים עפ"י הצוLZ רך כולל זויתני</t>
    </r>
  </si>
  <si>
    <t>22.002.0030</t>
  </si>
  <si>
    <r>
      <rPr>
        <sz val="11"/>
        <rFont val="Calibri"/>
      </rPr>
      <t>סינר גבס אופקי ואנכי במידות שונות בגבהים שונים עפ"י התוכניות בפריסה לרבות כל קונסטרקציית העזר הנדרשת גמר שפכטל מוכן לצבע כולל פינות מגן ובמידות שונות. הבצוע כולל גם הכנות לתאורה נסתרת ,</t>
    </r>
  </si>
  <si>
    <t>22.002.0040</t>
  </si>
  <si>
    <r>
      <rPr>
        <sz val="11"/>
        <rFont val="Calibri"/>
      </rPr>
      <t>קרניז תאורה בחתך של כ- 35/15ס"מ מלוחות גבס לרבות חלקים אופקיים ואנכיים, קונסטרוקצית תליה וחיזוק, מגיני פינות והחיזוקים הדרושים לחיבור גוף התאורה, המדידה לפי אורך הקרניז על כל חלקיו.</t>
    </r>
  </si>
  <si>
    <t>22.002.0050</t>
  </si>
  <si>
    <r>
      <rPr>
        <sz val="11"/>
        <rFont val="Calibri"/>
      </rPr>
      <t>תקרת מגשי פח מחורר , ניקוב עגול, עובי 0.8מ"מ ברוחב 30ס"מ בסוג וגוון בהתאם לרשימת גמרים מצורפת של לאומית - הבצוע כולל גם קונסטרוקציה וחיזוקים עפ"י הLZ צורך כולל זויתני</t>
    </r>
  </si>
  <si>
    <t>24</t>
  </si>
  <si>
    <t>פירוקים</t>
  </si>
  <si>
    <t>24.001</t>
  </si>
  <si>
    <t>תת פרק 01</t>
  </si>
  <si>
    <t>24.001.0020</t>
  </si>
  <si>
    <r>
      <rPr>
        <sz val="11"/>
        <rFont val="Calibri"/>
      </rPr>
      <t>פרוק קומפלט של כל הנמצא במקום הכל לפי תכנית הריסה, לרבות ריצוף, קירות, תקרות, ריצוף, מערכות, ריהוט נייד ונייח וכל הנדרש לביצוע העבודות כפי שהן מוצגותבמסמכי המכרז</t>
    </r>
  </si>
  <si>
    <t>34</t>
  </si>
  <si>
    <t>גילוי אש</t>
  </si>
  <si>
    <t>34.001</t>
  </si>
  <si>
    <t>מערכות גילוי אש וכריזה</t>
  </si>
  <si>
    <t>34.001.0001</t>
  </si>
  <si>
    <r>
      <rPr>
        <sz val="11"/>
        <rFont val="Calibri"/>
      </rPr>
      <t>בדיקת מעבדה מוסמכת, מכון התקנים כולל הכנת תכניות בהתאם לתקן 1220, תשלום אגרות וכל הדרוש. כולל השתתפות בכל המסירות ותהליכי אינטגרציה ככל שיידרש</t>
    </r>
  </si>
  <si>
    <t>34.001.0002</t>
  </si>
  <si>
    <r>
      <rPr>
        <sz val="11"/>
        <rFont val="Calibri"/>
      </rPr>
      <t>אספקה, הובלה, תכנון, התקנה, הפעלה, הרצה, חיווט מושלם של מערכת משולבת גילוי אש תוצרת TELEFIRE דגם GUARD-7, כולל גלאים קומפלט בכל על פי תקן ישראלי 2201 חלק 3 לכל האביזרים למינהם מכל נקודה נדרשת לרכזת או להיכן שידרש כולל כל סוגי הכבלים הנדרשים כולל שלטי כיבוי הפעלה בגז כולל השקעת גלאים בתקרה גבס או אקוסטית כולל כל חומרי ועבודות העזר, מפות סינפטיות לגלאים מעל תקרות הביניים, שילוט לחדרים,לרבות 2 סוללות גיבוי, כולל בדיקת אינטגרציה על פי נוהל מכ"ר 536.
הכל קומפלט לפי תכנית מתח נמוך</t>
    </r>
  </si>
  <si>
    <t>34.001.0003</t>
  </si>
  <si>
    <r>
      <rPr>
        <sz val="11"/>
        <rFont val="Calibri"/>
      </rPr>
      <t>מערכת כריזה: אספקה, הובלה, תכנון, התקנה, הפעלה, הרצה, חיווט מושלם של מערכת תקן תוצרת TELEFIRE דגם TFVX-50 כולל מיקרופון, רמקולים, הכל קומפלט על פי תקן ישראלי 1220חלק 3 לכל האביזרים למינהם מכל נקודה נדרשת לרכזת או להיכן שידרש כולל כל סוגי הכבלים הנדרשים כולל השקעת רמקולים בתקרה גבס או אקוסטית כולל כל חומרי ועבודות העזר, העברת מכון תקנים לרבות תשלום כל האגרות קומפלט מוכן לשימוש לרבות 2 סוללות גיבוי. המחיר כולל תאום וחיבור למערכת הקיימת במתחם.</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</si>
</sst>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2"/>
      <color rgb="FF0000FF"/>
      <name val="Calibri"/>
    </font>
    <font>
      <b/>
      <sz val="12"/>
      <color rgb="FF0000FF"/>
      <name val="Calibri"/>
    </font>
  </fonts>
  <fills count="3">
    <fill>
      <patternFill patternType="none"/>
    </fill>
    <fill>
      <patternFill patternType="gray125"/>
    </fill>
    <fill>
      <patternFill patternType="solid">
        <fgColor rgb="FFC8C8C8"/>
      </patternFill>
    </fill>
  </fills>
  <borders count="7">
    <border>
      <left/>
      <right/>
      <top/>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right style="thin">
        <color auto="1"/>
      </right>
      <top/>
      <bottom style="double">
        <color rgb="FF008000"/>
      </bottom>
      <diagonal/>
    </border>
    <border>
      <left style="thin">
        <color auto="1"/>
      </left>
      <right style="thin">
        <color auto="1"/>
      </right>
      <top/>
      <bottom style="double">
        <color rgb="FF008000"/>
      </bottom>
      <diagonal/>
    </border>
    <border>
      <left style="thin">
        <color auto="1"/>
      </left>
      <right/>
      <top/>
      <bottom style="double">
        <color rgb="FF008000"/>
      </bottom>
      <diagonal/>
    </border>
  </borders>
  <cellStyleXfs count="1">
    <xf numFmtId="0" fontId="0" fillId="0" borderId="0"/>
  </cellStyleXfs>
  <cellXfs count="26">
    <xf numFmtId="0" fontId="0" fillId="0" borderId="0" xfId="0" applyNumberFormat="1" applyFont="1" applyProtection="1"/>
    <xf numFmtId="0" fontId="0" fillId="0" borderId="0" xfId="0" applyNumberFormat="1" applyFont="1" applyAlignment="1" applyProtection="1">
      <alignment horizontal="right"/>
    </xf>
    <xf numFmtId="0" fontId="1" fillId="0" borderId="0" xfId="0" applyNumberFormat="1" applyFont="1" applyProtection="1"/>
    <xf numFmtId="0" fontId="0" fillId="0" borderId="0" xfId="0" applyNumberFormat="1" applyFont="1" applyAlignment="1" applyProtection="1">
      <alignment shrinkToFit="1"/>
    </xf>
    <xf numFmtId="0" fontId="0" fillId="0" borderId="1" xfId="0" applyNumberFormat="1" applyFont="1" applyBorder="1" applyProtection="1"/>
    <xf numFmtId="0" fontId="1" fillId="0" borderId="1" xfId="0" applyNumberFormat="1" applyFont="1" applyBorder="1" applyProtection="1"/>
    <xf numFmtId="0" fontId="0" fillId="0" borderId="1" xfId="0" applyNumberFormat="1" applyFont="1" applyBorder="1" applyAlignment="1" applyProtection="1">
      <alignment shrinkToFit="1"/>
    </xf>
    <xf numFmtId="0" fontId="1" fillId="0" borderId="1" xfId="0" applyNumberFormat="1" applyFont="1" applyBorder="1" applyAlignment="1" applyProtection="1">
      <alignment shrinkToFit="1"/>
    </xf>
    <xf numFmtId="0" fontId="0" fillId="0" borderId="0" xfId="0" applyNumberFormat="1" applyFont="1" applyAlignment="1" applyProtection="1">
      <alignment horizontal="left"/>
    </xf>
    <xf numFmtId="4" fontId="0" fillId="0" borderId="0" xfId="0" applyNumberFormat="1" applyFont="1" applyAlignment="1" applyProtection="1">
      <alignment horizontal="right"/>
    </xf>
    <xf numFmtId="4" fontId="0" fillId="0" borderId="1" xfId="0" applyNumberFormat="1" applyFont="1" applyBorder="1" applyAlignment="1" applyProtection="1">
      <alignment horizontal="right"/>
    </xf>
    <xf numFmtId="4" fontId="1" fillId="0" borderId="1" xfId="0" applyNumberFormat="1" applyFont="1" applyBorder="1" applyAlignment="1" applyProtection="1">
      <alignment horizontal="right"/>
    </xf>
    <xf numFmtId="0" fontId="0" fillId="0" borderId="1" xfId="0" applyNumberFormat="1" applyFont="1" applyBorder="1" applyAlignment="1" applyProtection="1">
      <alignment horizontal="right"/>
    </xf>
    <xf numFmtId="0" fontId="1" fillId="0" borderId="1" xfId="0" applyNumberFormat="1" applyFont="1" applyBorder="1" applyAlignment="1" applyProtection="1">
      <alignment horizontal="right"/>
    </xf>
    <xf numFmtId="4" fontId="1" fillId="0" borderId="0" xfId="0" applyNumberFormat="1" applyFont="1" applyAlignment="1" applyProtection="1">
      <alignment horizontal="right"/>
    </xf>
    <xf numFmtId="0" fontId="0" fillId="0" borderId="2" xfId="0" applyNumberFormat="1" applyFont="1" applyBorder="1" applyAlignment="1" applyProtection="1">
      <alignment horizontal="left"/>
    </xf>
    <xf numFmtId="49" fontId="1" fillId="0" borderId="2" xfId="0" applyNumberFormat="1" applyFont="1" applyBorder="1" applyAlignment="1" applyProtection="1">
      <alignment horizontal="left"/>
    </xf>
    <xf numFmtId="49" fontId="0" fillId="0" borderId="2" xfId="0" applyNumberFormat="1" applyFont="1" applyBorder="1" applyAlignment="1" applyProtection="1">
      <alignment horizontal="left"/>
    </xf>
    <xf numFmtId="4" fontId="0" fillId="0" borderId="3" xfId="0" applyNumberFormat="1" applyFont="1" applyBorder="1" applyAlignment="1" applyProtection="1">
      <alignment horizontal="right"/>
    </xf>
    <xf numFmtId="4" fontId="1" fillId="0" borderId="3" xfId="0" applyNumberFormat="1" applyFont="1" applyBorder="1" applyAlignment="1" applyProtection="1">
      <alignment horizontal="right"/>
    </xf>
    <xf numFmtId="0" fontId="0" fillId="2" borderId="4" xfId="0" applyNumberFormat="1" applyFont="1" applyFill="1" applyBorder="1" applyAlignment="1" applyProtection="1">
      <alignment horizontal="left"/>
    </xf>
    <xf numFmtId="0" fontId="0" fillId="2" borderId="5" xfId="0" applyNumberFormat="1" applyFont="1" applyFill="1" applyBorder="1" applyAlignment="1" applyProtection="1">
      <alignment horizontal="right"/>
    </xf>
    <xf numFmtId="0" fontId="0" fillId="2" borderId="5" xfId="0" applyNumberFormat="1" applyFont="1" applyFill="1" applyBorder="1" applyAlignment="1" applyProtection="1">
      <alignment horizontal="right" shrinkToFit="1"/>
    </xf>
    <xf numFmtId="4" fontId="0" fillId="2" borderId="5" xfId="0" applyNumberFormat="1" applyFont="1" applyFill="1" applyBorder="1" applyAlignment="1" applyProtection="1">
      <alignment horizontal="right"/>
    </xf>
    <xf numFmtId="4" fontId="0" fillId="2" borderId="6" xfId="0" applyNumberFormat="1" applyFont="1" applyFill="1" applyBorder="1" applyAlignment="1" applyProtection="1">
      <alignment horizontal="right"/>
    </xf>
    <xf numFmtId="4" fontId="2" fillId="0" borderId="3" xfId="0" applyNumberFormat="1" applyFont="1" applyBorder="1" applyAlignment="1" applyProtection="1">
      <alignment horizontal="right"/>
    </xf>
  </cellXfs>
  <cellStyles count="1">
    <cellStyle name="Normal" xfId="0" builtinId="0"/>
  </cellStyles>
  <dxfs count="8">
    <dxf>
      <font>
        <b val="0"/>
        <i val="0"/>
        <strike val="0"/>
        <condense val="0"/>
        <extend val="0"/>
        <outline val="0"/>
        <shadow val="0"/>
        <u val="none"/>
        <vertAlign val="baseline"/>
        <sz val="11"/>
        <color auto="1"/>
        <name val="Calibri"/>
        <scheme val="none"/>
      </font>
      <numFmt numFmtId="4" formatCode="#,##0.00"/>
      <alignment horizontal="right" vertical="bottom" textRotation="0" wrapText="0" indent="0" justifyLastLine="0" shrinkToFit="0" readingOrder="0"/>
      <border diagonalUp="0" diagonalDown="0">
        <left style="thin">
          <color auto="1"/>
        </left>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alignment horizontal="right" vertical="bottom" textRotation="0" wrapText="0" indent="0" justifyLastLine="0" shrinkToFit="0" readingOrder="0"/>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4" formatCode="#,##0.00"/>
      <alignment horizontal="right" vertical="bottom" textRotation="0" wrapText="0" indent="0" justifyLastLine="0" shrinkToFit="0" readingOrder="0"/>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alignment horizontal="general" vertical="bottom" textRotation="0" wrapText="0" indent="0" justifyLastLine="0" shrinkToFit="1" readingOrder="0"/>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0" formatCode="General"/>
      <border diagonalUp="0" diagonalDown="0">
        <left style="thin">
          <color auto="1"/>
        </left>
        <right style="thin">
          <color auto="1"/>
        </right>
        <top/>
        <bottom/>
        <vertical/>
        <horizontal/>
      </border>
      <protection locked="1" hidden="0"/>
    </dxf>
    <dxf>
      <font>
        <b val="0"/>
        <i val="0"/>
        <strike val="0"/>
        <condense val="0"/>
        <extend val="0"/>
        <outline val="0"/>
        <shadow val="0"/>
        <u val="none"/>
        <vertAlign val="baseline"/>
        <sz val="11"/>
        <color auto="1"/>
        <name val="Calibri"/>
        <scheme val="none"/>
      </font>
      <numFmt numFmtId="30" formatCode="@"/>
      <alignment horizontal="left" vertical="bottom" textRotation="0" wrapText="0" indent="0" justifyLastLine="0" shrinkToFit="0" readingOrder="0"/>
      <border diagonalUp="0" diagonalDown="0">
        <left/>
        <right style="thin">
          <color auto="1"/>
        </right>
        <top/>
        <bottom/>
        <vertical/>
        <horizontal/>
      </border>
      <protection locked="1" hidden="0"/>
    </dxf>
    <dxf>
      <border outline="0">
        <bottom style="double">
          <color rgb="FF008000"/>
        </bottom>
      </border>
    </dxf>
    <dxf>
      <border outline="0">
        <left style="thin">
          <color auto="1"/>
        </left>
        <right style="thin">
          <color auto="1"/>
        </right>
        <top style="double">
          <color rgb="FF008000"/>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11932-4A09-4027-8094-76D4F91FEE43}" name="Table1" displayName="Table1" ref="A1:F331" totalsRowShown="0" headerRowBorderDxfId="6" tableBorderDxfId="7">
  <autoFilter ref="A1:F331" xr:uid="{67011932-4A09-4027-8094-76D4F91FEE43}"/>
  <tableColumns count="6">
    <tableColumn id="1" xr3:uid="{D92BCDF8-8B0F-4633-BA14-9E72AE17C396}" name="סעיף" dataDxfId="5"/>
    <tableColumn id="2" xr3:uid="{9E563EF8-6FE1-4D20-8D10-ED4BEA191DAD}" name="תאור" dataDxfId="4"/>
    <tableColumn id="3" xr3:uid="{88C96F4A-6A17-424C-B6EB-21F6F736C974}" name="יח" dataDxfId="3"/>
    <tableColumn id="4" xr3:uid="{EF44DA3F-5884-4C02-8BAE-68BF443FD931}" name="כמות" dataDxfId="2"/>
    <tableColumn id="5" xr3:uid="{55112230-E9C2-426A-B044-9FFDC26DCFD5}" name="מחיר" dataDxfId="1"/>
    <tableColumn id="6" xr3:uid="{7A053697-9286-4519-9629-5C9FA10BD96A}" name="סה&quot;כ"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1"/>
  <sheetViews>
    <sheetView rightToLeft="1" tabSelected="1" workbookViewId="0">
      <selection activeCell="A2" sqref="A2"/>
    </sheetView>
  </sheetViews>
  <sheetFormatPr defaultRowHeight="15" x14ac:dyDescent="0.25"/>
  <cols>
    <col min="1" max="1" width="13.140625" style="8" customWidth="1"/>
    <col min="2" max="2" width="70" customWidth="1"/>
    <col min="3" max="3" width="9.140625" style="3" customWidth="1"/>
    <col min="4" max="4" width="9.140625" style="9" customWidth="1"/>
    <col min="5" max="5" width="9.140625" style="1" customWidth="1"/>
    <col min="6" max="6" width="17" style="9" customWidth="1"/>
    <col min="7" max="7" width="9.140625" style="9" customWidth="1"/>
  </cols>
  <sheetData>
    <row r="1" spans="1:7" ht="15.75" thickBot="1" x14ac:dyDescent="0.3">
      <c r="A1" s="20" t="s">
        <v>0</v>
      </c>
      <c r="B1" s="21" t="s">
        <v>1</v>
      </c>
      <c r="C1" s="22" t="s">
        <v>2</v>
      </c>
      <c r="D1" s="23" t="s">
        <v>3</v>
      </c>
      <c r="E1" s="21" t="s">
        <v>4</v>
      </c>
      <c r="F1" s="24" t="s">
        <v>5</v>
      </c>
    </row>
    <row r="2" spans="1:7" ht="15.75" thickTop="1" x14ac:dyDescent="0.25">
      <c r="A2" s="15"/>
      <c r="B2" s="4"/>
      <c r="C2" s="6"/>
      <c r="D2" s="10"/>
      <c r="E2" s="12"/>
      <c r="F2" s="18"/>
    </row>
    <row r="3" spans="1:7" s="2" customFormat="1" ht="15.75" x14ac:dyDescent="0.25">
      <c r="A3" s="16" t="s">
        <v>6</v>
      </c>
      <c r="B3" s="5" t="s">
        <v>6</v>
      </c>
      <c r="C3" s="7" t="s">
        <v>6</v>
      </c>
      <c r="D3" s="11" t="s">
        <v>6</v>
      </c>
      <c r="E3" s="13" t="s">
        <v>6</v>
      </c>
      <c r="F3" s="19" t="s">
        <v>6</v>
      </c>
      <c r="G3" s="14"/>
    </row>
    <row r="4" spans="1:7" x14ac:dyDescent="0.25">
      <c r="A4" s="15"/>
      <c r="B4" s="4"/>
      <c r="C4" s="6"/>
      <c r="D4" s="10"/>
      <c r="E4" s="12"/>
      <c r="F4" s="18"/>
    </row>
    <row r="5" spans="1:7" x14ac:dyDescent="0.25">
      <c r="A5" s="15"/>
      <c r="B5" s="4"/>
      <c r="C5" s="6"/>
      <c r="D5" s="10"/>
      <c r="E5" s="12"/>
      <c r="F5" s="18"/>
    </row>
    <row r="6" spans="1:7" s="2" customFormat="1" ht="15.75" x14ac:dyDescent="0.25">
      <c r="A6" s="16" t="s">
        <v>7</v>
      </c>
      <c r="B6" s="5" t="s">
        <v>8</v>
      </c>
      <c r="C6" s="7" t="s">
        <v>6</v>
      </c>
      <c r="D6" s="11" t="s">
        <v>6</v>
      </c>
      <c r="E6" s="13" t="s">
        <v>6</v>
      </c>
      <c r="F6" s="19">
        <v>1700.3</v>
      </c>
      <c r="G6" s="14"/>
    </row>
    <row r="7" spans="1:7" x14ac:dyDescent="0.25">
      <c r="A7" s="15"/>
      <c r="B7" s="4"/>
      <c r="C7" s="6"/>
      <c r="D7" s="10"/>
      <c r="E7" s="12"/>
      <c r="F7" s="18"/>
    </row>
    <row r="8" spans="1:7" s="2" customFormat="1" ht="15.75" x14ac:dyDescent="0.25">
      <c r="A8" s="16" t="s">
        <v>9</v>
      </c>
      <c r="B8" s="5" t="s">
        <v>10</v>
      </c>
      <c r="C8" s="7" t="s">
        <v>6</v>
      </c>
      <c r="D8" s="11" t="s">
        <v>6</v>
      </c>
      <c r="E8" s="13" t="s">
        <v>6</v>
      </c>
      <c r="F8" s="19">
        <v>1700.3</v>
      </c>
      <c r="G8" s="14"/>
    </row>
    <row r="9" spans="1:7" x14ac:dyDescent="0.25">
      <c r="A9" s="17" t="s">
        <v>11</v>
      </c>
      <c r="B9" s="4" t="s">
        <v>12</v>
      </c>
      <c r="C9" s="6" t="s">
        <v>13</v>
      </c>
      <c r="D9" s="10">
        <v>10</v>
      </c>
      <c r="E9" s="12">
        <v>170.03</v>
      </c>
      <c r="F9" s="18">
        <f>D9*E9</f>
        <v>1700.3</v>
      </c>
    </row>
    <row r="10" spans="1:7" x14ac:dyDescent="0.25">
      <c r="A10" s="15"/>
      <c r="B10" s="4"/>
      <c r="C10" s="6"/>
      <c r="D10" s="10"/>
      <c r="E10" s="12"/>
      <c r="F10" s="18"/>
    </row>
    <row r="11" spans="1:7" x14ac:dyDescent="0.25">
      <c r="A11" s="15"/>
      <c r="B11" s="4"/>
      <c r="C11" s="6"/>
      <c r="D11" s="10"/>
      <c r="E11" s="12"/>
      <c r="F11" s="18"/>
    </row>
    <row r="12" spans="1:7" s="2" customFormat="1" ht="15.75" x14ac:dyDescent="0.25">
      <c r="A12" s="16" t="s">
        <v>14</v>
      </c>
      <c r="B12" s="5" t="s">
        <v>15</v>
      </c>
      <c r="C12" s="7" t="s">
        <v>6</v>
      </c>
      <c r="D12" s="11" t="s">
        <v>6</v>
      </c>
      <c r="E12" s="13" t="s">
        <v>6</v>
      </c>
      <c r="F12" s="19">
        <v>238400</v>
      </c>
      <c r="G12" s="14"/>
    </row>
    <row r="13" spans="1:7" x14ac:dyDescent="0.25">
      <c r="A13" s="15"/>
      <c r="B13" s="4"/>
      <c r="C13" s="6"/>
      <c r="D13" s="10"/>
      <c r="E13" s="12"/>
      <c r="F13" s="18"/>
    </row>
    <row r="14" spans="1:7" s="2" customFormat="1" ht="15.75" x14ac:dyDescent="0.25">
      <c r="A14" s="16" t="s">
        <v>16</v>
      </c>
      <c r="B14" s="5" t="s">
        <v>17</v>
      </c>
      <c r="C14" s="7" t="s">
        <v>6</v>
      </c>
      <c r="D14" s="11" t="s">
        <v>6</v>
      </c>
      <c r="E14" s="13" t="s">
        <v>6</v>
      </c>
      <c r="F14" s="19">
        <v>238400</v>
      </c>
      <c r="G14" s="14"/>
    </row>
    <row r="15" spans="1:7" x14ac:dyDescent="0.25">
      <c r="A15" s="17" t="s">
        <v>18</v>
      </c>
      <c r="B15" s="4" t="s">
        <v>19</v>
      </c>
      <c r="C15" s="6" t="s">
        <v>20</v>
      </c>
      <c r="D15" s="10">
        <v>10</v>
      </c>
      <c r="E15" s="12">
        <v>3400</v>
      </c>
      <c r="F15" s="18">
        <f t="shared" ref="F15:F39" si="0">D15*E15</f>
        <v>34000</v>
      </c>
    </row>
    <row r="16" spans="1:7" x14ac:dyDescent="0.25">
      <c r="A16" s="17" t="s">
        <v>21</v>
      </c>
      <c r="B16" s="4" t="s">
        <v>22</v>
      </c>
      <c r="C16" s="6" t="s">
        <v>20</v>
      </c>
      <c r="D16" s="10">
        <v>5</v>
      </c>
      <c r="E16" s="12">
        <v>3400</v>
      </c>
      <c r="F16" s="18">
        <f t="shared" si="0"/>
        <v>17000</v>
      </c>
    </row>
    <row r="17" spans="1:6" x14ac:dyDescent="0.25">
      <c r="A17" s="17" t="s">
        <v>23</v>
      </c>
      <c r="B17" s="4" t="s">
        <v>24</v>
      </c>
      <c r="C17" s="6" t="s">
        <v>20</v>
      </c>
      <c r="D17" s="10">
        <v>1</v>
      </c>
      <c r="E17" s="12">
        <v>3400</v>
      </c>
      <c r="F17" s="18">
        <f t="shared" si="0"/>
        <v>3400</v>
      </c>
    </row>
    <row r="18" spans="1:6" x14ac:dyDescent="0.25">
      <c r="A18" s="17" t="s">
        <v>25</v>
      </c>
      <c r="B18" s="4" t="s">
        <v>26</v>
      </c>
      <c r="C18" s="6" t="s">
        <v>20</v>
      </c>
      <c r="D18" s="10">
        <v>1</v>
      </c>
      <c r="E18" s="12">
        <v>3400</v>
      </c>
      <c r="F18" s="18">
        <f t="shared" si="0"/>
        <v>3400</v>
      </c>
    </row>
    <row r="19" spans="1:6" x14ac:dyDescent="0.25">
      <c r="A19" s="17" t="s">
        <v>27</v>
      </c>
      <c r="B19" s="4" t="s">
        <v>28</v>
      </c>
      <c r="C19" s="6" t="s">
        <v>20</v>
      </c>
      <c r="D19" s="10">
        <v>2</v>
      </c>
      <c r="E19" s="12">
        <v>5000</v>
      </c>
      <c r="F19" s="18">
        <f t="shared" si="0"/>
        <v>10000</v>
      </c>
    </row>
    <row r="20" spans="1:6" x14ac:dyDescent="0.25">
      <c r="A20" s="17" t="s">
        <v>29</v>
      </c>
      <c r="B20" s="4" t="s">
        <v>30</v>
      </c>
      <c r="C20" s="6" t="s">
        <v>20</v>
      </c>
      <c r="D20" s="10">
        <v>9</v>
      </c>
      <c r="E20" s="12">
        <v>3000</v>
      </c>
      <c r="F20" s="18">
        <f t="shared" si="0"/>
        <v>27000</v>
      </c>
    </row>
    <row r="21" spans="1:6" x14ac:dyDescent="0.25">
      <c r="A21" s="17" t="s">
        <v>31</v>
      </c>
      <c r="B21" s="4" t="s">
        <v>32</v>
      </c>
      <c r="C21" s="6" t="s">
        <v>20</v>
      </c>
      <c r="D21" s="10">
        <v>1</v>
      </c>
      <c r="E21" s="12">
        <v>10000</v>
      </c>
      <c r="F21" s="18">
        <f t="shared" si="0"/>
        <v>10000</v>
      </c>
    </row>
    <row r="22" spans="1:6" x14ac:dyDescent="0.25">
      <c r="A22" s="17" t="s">
        <v>33</v>
      </c>
      <c r="B22" s="4" t="s">
        <v>34</v>
      </c>
      <c r="C22" s="6" t="s">
        <v>20</v>
      </c>
      <c r="D22" s="10">
        <v>1</v>
      </c>
      <c r="E22" s="12">
        <v>14000</v>
      </c>
      <c r="F22" s="18">
        <f t="shared" si="0"/>
        <v>14000</v>
      </c>
    </row>
    <row r="23" spans="1:6" x14ac:dyDescent="0.25">
      <c r="A23" s="17" t="s">
        <v>35</v>
      </c>
      <c r="B23" s="4" t="s">
        <v>36</v>
      </c>
      <c r="C23" s="6" t="s">
        <v>20</v>
      </c>
      <c r="D23" s="10">
        <v>3</v>
      </c>
      <c r="E23" s="12">
        <v>1500</v>
      </c>
      <c r="F23" s="18">
        <f t="shared" si="0"/>
        <v>4500</v>
      </c>
    </row>
    <row r="24" spans="1:6" x14ac:dyDescent="0.25">
      <c r="A24" s="17" t="s">
        <v>37</v>
      </c>
      <c r="B24" s="4" t="s">
        <v>38</v>
      </c>
      <c r="C24" s="6" t="s">
        <v>20</v>
      </c>
      <c r="D24" s="10">
        <v>1</v>
      </c>
      <c r="E24" s="12">
        <v>3000</v>
      </c>
      <c r="F24" s="18">
        <f t="shared" si="0"/>
        <v>3000</v>
      </c>
    </row>
    <row r="25" spans="1:6" x14ac:dyDescent="0.25">
      <c r="A25" s="17" t="s">
        <v>39</v>
      </c>
      <c r="B25" s="4" t="s">
        <v>40</v>
      </c>
      <c r="C25" s="6" t="s">
        <v>20</v>
      </c>
      <c r="D25" s="10">
        <v>1</v>
      </c>
      <c r="E25" s="12">
        <v>1500</v>
      </c>
      <c r="F25" s="18">
        <f t="shared" si="0"/>
        <v>1500</v>
      </c>
    </row>
    <row r="26" spans="1:6" x14ac:dyDescent="0.25">
      <c r="A26" s="17" t="s">
        <v>41</v>
      </c>
      <c r="B26" s="4" t="s">
        <v>42</v>
      </c>
      <c r="C26" s="6" t="s">
        <v>20</v>
      </c>
      <c r="D26" s="10">
        <v>1</v>
      </c>
      <c r="E26" s="12">
        <v>3000</v>
      </c>
      <c r="F26" s="18">
        <f t="shared" si="0"/>
        <v>3000</v>
      </c>
    </row>
    <row r="27" spans="1:6" x14ac:dyDescent="0.25">
      <c r="A27" s="17" t="s">
        <v>43</v>
      </c>
      <c r="B27" s="4" t="s">
        <v>44</v>
      </c>
      <c r="C27" s="6" t="s">
        <v>20</v>
      </c>
      <c r="D27" s="10">
        <v>1</v>
      </c>
      <c r="E27" s="12">
        <v>14000</v>
      </c>
      <c r="F27" s="18">
        <f t="shared" si="0"/>
        <v>14000</v>
      </c>
    </row>
    <row r="28" spans="1:6" x14ac:dyDescent="0.25">
      <c r="A28" s="17" t="s">
        <v>45</v>
      </c>
      <c r="B28" s="4" t="s">
        <v>46</v>
      </c>
      <c r="C28" s="6" t="s">
        <v>20</v>
      </c>
      <c r="D28" s="10">
        <v>1</v>
      </c>
      <c r="E28" s="12">
        <v>20000</v>
      </c>
      <c r="F28" s="18">
        <f t="shared" si="0"/>
        <v>20000</v>
      </c>
    </row>
    <row r="29" spans="1:6" x14ac:dyDescent="0.25">
      <c r="A29" s="17" t="s">
        <v>47</v>
      </c>
      <c r="B29" s="4" t="s">
        <v>48</v>
      </c>
      <c r="C29" s="6" t="s">
        <v>20</v>
      </c>
      <c r="D29" s="10">
        <v>1</v>
      </c>
      <c r="E29" s="12">
        <v>14000</v>
      </c>
      <c r="F29" s="18">
        <f t="shared" si="0"/>
        <v>14000</v>
      </c>
    </row>
    <row r="30" spans="1:6" x14ac:dyDescent="0.25">
      <c r="A30" s="17" t="s">
        <v>49</v>
      </c>
      <c r="B30" s="4" t="s">
        <v>50</v>
      </c>
      <c r="C30" s="6" t="s">
        <v>20</v>
      </c>
      <c r="D30" s="10">
        <v>1</v>
      </c>
      <c r="E30" s="12">
        <v>3000</v>
      </c>
      <c r="F30" s="18">
        <f t="shared" si="0"/>
        <v>3000</v>
      </c>
    </row>
    <row r="31" spans="1:6" x14ac:dyDescent="0.25">
      <c r="A31" s="17" t="s">
        <v>51</v>
      </c>
      <c r="B31" s="4" t="s">
        <v>52</v>
      </c>
      <c r="C31" s="6" t="s">
        <v>53</v>
      </c>
      <c r="D31" s="10">
        <v>45</v>
      </c>
      <c r="E31" s="12">
        <v>150</v>
      </c>
      <c r="F31" s="18">
        <f t="shared" si="0"/>
        <v>6750</v>
      </c>
    </row>
    <row r="32" spans="1:6" x14ac:dyDescent="0.25">
      <c r="A32" s="17" t="s">
        <v>54</v>
      </c>
      <c r="B32" s="4" t="s">
        <v>55</v>
      </c>
      <c r="C32" s="6" t="s">
        <v>53</v>
      </c>
      <c r="D32" s="10">
        <v>35</v>
      </c>
      <c r="E32" s="12">
        <v>250</v>
      </c>
      <c r="F32" s="18">
        <f t="shared" si="0"/>
        <v>8750</v>
      </c>
    </row>
    <row r="33" spans="1:7" x14ac:dyDescent="0.25">
      <c r="A33" s="17" t="s">
        <v>56</v>
      </c>
      <c r="B33" s="4" t="s">
        <v>57</v>
      </c>
      <c r="C33" s="6" t="s">
        <v>53</v>
      </c>
      <c r="D33" s="10">
        <v>7</v>
      </c>
      <c r="E33" s="12">
        <v>200</v>
      </c>
      <c r="F33" s="18">
        <f t="shared" si="0"/>
        <v>1400</v>
      </c>
    </row>
    <row r="34" spans="1:7" x14ac:dyDescent="0.25">
      <c r="A34" s="17" t="s">
        <v>58</v>
      </c>
      <c r="B34" s="4" t="s">
        <v>59</v>
      </c>
      <c r="C34" s="6" t="s">
        <v>53</v>
      </c>
      <c r="D34" s="10">
        <v>20</v>
      </c>
      <c r="E34" s="12">
        <v>135</v>
      </c>
      <c r="F34" s="18">
        <f t="shared" si="0"/>
        <v>2700</v>
      </c>
    </row>
    <row r="35" spans="1:7" x14ac:dyDescent="0.25">
      <c r="A35" s="17" t="s">
        <v>60</v>
      </c>
      <c r="B35" s="4" t="s">
        <v>61</v>
      </c>
      <c r="C35" s="6" t="s">
        <v>20</v>
      </c>
      <c r="D35" s="10">
        <v>1</v>
      </c>
      <c r="E35" s="12">
        <v>10000</v>
      </c>
      <c r="F35" s="18">
        <f t="shared" si="0"/>
        <v>10000</v>
      </c>
    </row>
    <row r="36" spans="1:7" x14ac:dyDescent="0.25">
      <c r="A36" s="17" t="s">
        <v>62</v>
      </c>
      <c r="B36" s="4" t="s">
        <v>63</v>
      </c>
      <c r="C36" s="6" t="s">
        <v>20</v>
      </c>
      <c r="D36" s="10">
        <v>1</v>
      </c>
      <c r="E36" s="12">
        <v>4500</v>
      </c>
      <c r="F36" s="18">
        <f t="shared" si="0"/>
        <v>4500</v>
      </c>
    </row>
    <row r="37" spans="1:7" x14ac:dyDescent="0.25">
      <c r="A37" s="17" t="s">
        <v>64</v>
      </c>
      <c r="B37" s="4" t="s">
        <v>65</v>
      </c>
      <c r="C37" s="6" t="s">
        <v>20</v>
      </c>
      <c r="D37" s="10">
        <v>1</v>
      </c>
      <c r="E37" s="12">
        <v>10000</v>
      </c>
      <c r="F37" s="18">
        <f t="shared" si="0"/>
        <v>10000</v>
      </c>
    </row>
    <row r="38" spans="1:7" x14ac:dyDescent="0.25">
      <c r="A38" s="17" t="s">
        <v>66</v>
      </c>
      <c r="B38" s="4" t="s">
        <v>67</v>
      </c>
      <c r="C38" s="6" t="s">
        <v>20</v>
      </c>
      <c r="D38" s="10">
        <v>1</v>
      </c>
      <c r="E38" s="12">
        <v>7500</v>
      </c>
      <c r="F38" s="18">
        <f t="shared" si="0"/>
        <v>7500</v>
      </c>
    </row>
    <row r="39" spans="1:7" x14ac:dyDescent="0.25">
      <c r="A39" s="17" t="s">
        <v>68</v>
      </c>
      <c r="B39" s="4" t="s">
        <v>69</v>
      </c>
      <c r="C39" s="6" t="s">
        <v>20</v>
      </c>
      <c r="D39" s="10">
        <v>1</v>
      </c>
      <c r="E39" s="12">
        <v>5000</v>
      </c>
      <c r="F39" s="18">
        <f t="shared" si="0"/>
        <v>5000</v>
      </c>
    </row>
    <row r="40" spans="1:7" x14ac:dyDescent="0.25">
      <c r="A40" s="15"/>
      <c r="B40" s="4"/>
      <c r="C40" s="6"/>
      <c r="D40" s="10"/>
      <c r="E40" s="12"/>
      <c r="F40" s="18"/>
    </row>
    <row r="41" spans="1:7" x14ac:dyDescent="0.25">
      <c r="A41" s="15"/>
      <c r="B41" s="4"/>
      <c r="C41" s="6"/>
      <c r="D41" s="10"/>
      <c r="E41" s="12"/>
      <c r="F41" s="18"/>
    </row>
    <row r="42" spans="1:7" s="2" customFormat="1" ht="15.75" x14ac:dyDescent="0.25">
      <c r="A42" s="16" t="s">
        <v>70</v>
      </c>
      <c r="B42" s="5" t="s">
        <v>71</v>
      </c>
      <c r="C42" s="7" t="s">
        <v>6</v>
      </c>
      <c r="D42" s="11" t="s">
        <v>6</v>
      </c>
      <c r="E42" s="13" t="s">
        <v>6</v>
      </c>
      <c r="F42" s="19">
        <v>192435.5</v>
      </c>
      <c r="G42" s="14"/>
    </row>
    <row r="43" spans="1:7" x14ac:dyDescent="0.25">
      <c r="A43" s="15"/>
      <c r="B43" s="4"/>
      <c r="C43" s="6"/>
      <c r="D43" s="10"/>
      <c r="E43" s="12"/>
      <c r="F43" s="18"/>
    </row>
    <row r="44" spans="1:7" s="2" customFormat="1" ht="15.75" x14ac:dyDescent="0.25">
      <c r="A44" s="16" t="s">
        <v>72</v>
      </c>
      <c r="B44" s="5" t="s">
        <v>73</v>
      </c>
      <c r="C44" s="7" t="s">
        <v>6</v>
      </c>
      <c r="D44" s="11" t="s">
        <v>6</v>
      </c>
      <c r="E44" s="13" t="s">
        <v>6</v>
      </c>
      <c r="F44" s="19">
        <v>1970</v>
      </c>
      <c r="G44" s="14"/>
    </row>
    <row r="45" spans="1:7" x14ac:dyDescent="0.25">
      <c r="A45" s="17" t="s">
        <v>74</v>
      </c>
      <c r="B45" s="4" t="s">
        <v>75</v>
      </c>
      <c r="C45" s="6" t="s">
        <v>76</v>
      </c>
      <c r="D45" s="10">
        <v>2</v>
      </c>
      <c r="E45" s="12">
        <v>600</v>
      </c>
      <c r="F45" s="18">
        <f>D45*E45</f>
        <v>1200</v>
      </c>
    </row>
    <row r="46" spans="1:7" x14ac:dyDescent="0.25">
      <c r="A46" s="17" t="s">
        <v>77</v>
      </c>
      <c r="B46" s="4" t="s">
        <v>78</v>
      </c>
      <c r="C46" s="6" t="s">
        <v>76</v>
      </c>
      <c r="D46" s="10">
        <v>1</v>
      </c>
      <c r="E46" s="12">
        <v>770</v>
      </c>
      <c r="F46" s="18">
        <f>D46*E46</f>
        <v>770</v>
      </c>
    </row>
    <row r="47" spans="1:7" x14ac:dyDescent="0.25">
      <c r="A47" s="15"/>
      <c r="B47" s="4"/>
      <c r="C47" s="6"/>
      <c r="D47" s="10"/>
      <c r="E47" s="12"/>
      <c r="F47" s="18"/>
    </row>
    <row r="48" spans="1:7" s="2" customFormat="1" ht="15.75" x14ac:dyDescent="0.25">
      <c r="A48" s="16" t="s">
        <v>79</v>
      </c>
      <c r="B48" s="5" t="s">
        <v>80</v>
      </c>
      <c r="C48" s="7" t="s">
        <v>6</v>
      </c>
      <c r="D48" s="11" t="s">
        <v>6</v>
      </c>
      <c r="E48" s="13" t="s">
        <v>6</v>
      </c>
      <c r="F48" s="19">
        <v>35768</v>
      </c>
      <c r="G48" s="14"/>
    </row>
    <row r="49" spans="1:7" x14ac:dyDescent="0.25">
      <c r="A49" s="17" t="s">
        <v>81</v>
      </c>
      <c r="B49" s="4" t="s">
        <v>82</v>
      </c>
      <c r="C49" s="6" t="s">
        <v>53</v>
      </c>
      <c r="D49" s="10">
        <v>175</v>
      </c>
      <c r="E49" s="12">
        <v>85</v>
      </c>
      <c r="F49" s="18">
        <f t="shared" ref="F49:F54" si="1">D49*E49</f>
        <v>14875</v>
      </c>
    </row>
    <row r="50" spans="1:7" x14ac:dyDescent="0.25">
      <c r="A50" s="17" t="s">
        <v>83</v>
      </c>
      <c r="B50" s="4" t="s">
        <v>84</v>
      </c>
      <c r="C50" s="6" t="s">
        <v>20</v>
      </c>
      <c r="D50" s="10">
        <v>42</v>
      </c>
      <c r="E50" s="12">
        <v>190</v>
      </c>
      <c r="F50" s="18">
        <f t="shared" si="1"/>
        <v>7980</v>
      </c>
    </row>
    <row r="51" spans="1:7" x14ac:dyDescent="0.25">
      <c r="A51" s="17" t="s">
        <v>85</v>
      </c>
      <c r="B51" s="4" t="s">
        <v>86</v>
      </c>
      <c r="C51" s="6" t="s">
        <v>53</v>
      </c>
      <c r="D51" s="10">
        <v>42</v>
      </c>
      <c r="E51" s="12">
        <v>78</v>
      </c>
      <c r="F51" s="18">
        <f t="shared" si="1"/>
        <v>3276</v>
      </c>
    </row>
    <row r="52" spans="1:7" x14ac:dyDescent="0.25">
      <c r="A52" s="17" t="s">
        <v>87</v>
      </c>
      <c r="B52" s="4" t="s">
        <v>88</v>
      </c>
      <c r="C52" s="6" t="s">
        <v>53</v>
      </c>
      <c r="D52" s="10">
        <v>52</v>
      </c>
      <c r="E52" s="12">
        <v>91</v>
      </c>
      <c r="F52" s="18">
        <f t="shared" si="1"/>
        <v>4732</v>
      </c>
    </row>
    <row r="53" spans="1:7" x14ac:dyDescent="0.25">
      <c r="A53" s="17" t="s">
        <v>89</v>
      </c>
      <c r="B53" s="4" t="s">
        <v>90</v>
      </c>
      <c r="C53" s="6" t="s">
        <v>53</v>
      </c>
      <c r="D53" s="10">
        <v>45</v>
      </c>
      <c r="E53" s="12">
        <v>109</v>
      </c>
      <c r="F53" s="18">
        <f t="shared" si="1"/>
        <v>4905</v>
      </c>
    </row>
    <row r="54" spans="1:7" x14ac:dyDescent="0.25">
      <c r="A54" s="17" t="s">
        <v>91</v>
      </c>
      <c r="B54" s="4" t="s">
        <v>92</v>
      </c>
      <c r="C54" s="6" t="s">
        <v>53</v>
      </c>
      <c r="D54" s="10">
        <v>0</v>
      </c>
      <c r="E54" s="12">
        <v>187</v>
      </c>
      <c r="F54" s="18">
        <f t="shared" si="1"/>
        <v>0</v>
      </c>
    </row>
    <row r="55" spans="1:7" x14ac:dyDescent="0.25">
      <c r="A55" s="15"/>
      <c r="B55" s="4"/>
      <c r="C55" s="6"/>
      <c r="D55" s="10"/>
      <c r="E55" s="12"/>
      <c r="F55" s="18"/>
    </row>
    <row r="56" spans="1:7" s="2" customFormat="1" ht="15.75" x14ac:dyDescent="0.25">
      <c r="A56" s="16" t="s">
        <v>93</v>
      </c>
      <c r="B56" s="5" t="s">
        <v>94</v>
      </c>
      <c r="C56" s="7" t="s">
        <v>6</v>
      </c>
      <c r="D56" s="11" t="s">
        <v>6</v>
      </c>
      <c r="E56" s="13" t="s">
        <v>6</v>
      </c>
      <c r="F56" s="19">
        <v>29200</v>
      </c>
      <c r="G56" s="14"/>
    </row>
    <row r="57" spans="1:7" x14ac:dyDescent="0.25">
      <c r="A57" s="17" t="s">
        <v>95</v>
      </c>
      <c r="B57" s="4" t="s">
        <v>96</v>
      </c>
      <c r="C57" s="6" t="s">
        <v>53</v>
      </c>
      <c r="D57" s="10">
        <v>105</v>
      </c>
      <c r="E57" s="12">
        <v>118</v>
      </c>
      <c r="F57" s="18">
        <f>D57*E57</f>
        <v>12390</v>
      </c>
    </row>
    <row r="58" spans="1:7" x14ac:dyDescent="0.25">
      <c r="A58" s="17" t="s">
        <v>97</v>
      </c>
      <c r="B58" s="4" t="s">
        <v>98</v>
      </c>
      <c r="C58" s="6" t="s">
        <v>53</v>
      </c>
      <c r="D58" s="10">
        <v>10</v>
      </c>
      <c r="E58" s="12">
        <v>154</v>
      </c>
      <c r="F58" s="18">
        <f>D58*E58</f>
        <v>1540</v>
      </c>
    </row>
    <row r="59" spans="1:7" x14ac:dyDescent="0.25">
      <c r="A59" s="17" t="s">
        <v>99</v>
      </c>
      <c r="B59" s="4" t="s">
        <v>100</v>
      </c>
      <c r="C59" s="6" t="s">
        <v>53</v>
      </c>
      <c r="D59" s="10">
        <v>50</v>
      </c>
      <c r="E59" s="12">
        <v>177</v>
      </c>
      <c r="F59" s="18">
        <f>D59*E59</f>
        <v>8850</v>
      </c>
    </row>
    <row r="60" spans="1:7" x14ac:dyDescent="0.25">
      <c r="A60" s="17" t="s">
        <v>101</v>
      </c>
      <c r="B60" s="4" t="s">
        <v>102</v>
      </c>
      <c r="C60" s="6" t="s">
        <v>53</v>
      </c>
      <c r="D60" s="10">
        <v>30</v>
      </c>
      <c r="E60" s="12">
        <v>214</v>
      </c>
      <c r="F60" s="18">
        <f>D60*E60</f>
        <v>6420</v>
      </c>
    </row>
    <row r="61" spans="1:7" x14ac:dyDescent="0.25">
      <c r="A61" s="15"/>
      <c r="B61" s="4"/>
      <c r="C61" s="6"/>
      <c r="D61" s="10"/>
      <c r="E61" s="12"/>
      <c r="F61" s="18"/>
    </row>
    <row r="62" spans="1:7" s="2" customFormat="1" ht="15.75" x14ac:dyDescent="0.25">
      <c r="A62" s="16" t="s">
        <v>103</v>
      </c>
      <c r="B62" s="5" t="s">
        <v>104</v>
      </c>
      <c r="C62" s="7" t="s">
        <v>6</v>
      </c>
      <c r="D62" s="11" t="s">
        <v>6</v>
      </c>
      <c r="E62" s="13" t="s">
        <v>6</v>
      </c>
      <c r="F62" s="19">
        <v>28400</v>
      </c>
      <c r="G62" s="14"/>
    </row>
    <row r="63" spans="1:7" x14ac:dyDescent="0.25">
      <c r="A63" s="17" t="s">
        <v>105</v>
      </c>
      <c r="B63" s="4" t="s">
        <v>106</v>
      </c>
      <c r="C63" s="6" t="s">
        <v>20</v>
      </c>
      <c r="D63" s="10">
        <v>1</v>
      </c>
      <c r="E63" s="12">
        <v>3000</v>
      </c>
      <c r="F63" s="18">
        <f t="shared" ref="F63:F72" si="2">D63*E63</f>
        <v>3000</v>
      </c>
    </row>
    <row r="64" spans="1:7" x14ac:dyDescent="0.25">
      <c r="A64" s="17" t="s">
        <v>107</v>
      </c>
      <c r="B64" s="4" t="s">
        <v>108</v>
      </c>
      <c r="C64" s="6" t="s">
        <v>20</v>
      </c>
      <c r="D64" s="10">
        <v>1</v>
      </c>
      <c r="E64" s="12">
        <v>2700</v>
      </c>
      <c r="F64" s="18">
        <f t="shared" si="2"/>
        <v>2700</v>
      </c>
    </row>
    <row r="65" spans="1:7" x14ac:dyDescent="0.25">
      <c r="A65" s="17" t="s">
        <v>109</v>
      </c>
      <c r="B65" s="4" t="s">
        <v>110</v>
      </c>
      <c r="C65" s="6" t="s">
        <v>20</v>
      </c>
      <c r="D65" s="10">
        <v>1</v>
      </c>
      <c r="E65" s="12">
        <v>800</v>
      </c>
      <c r="F65" s="18">
        <f t="shared" si="2"/>
        <v>800</v>
      </c>
    </row>
    <row r="66" spans="1:7" x14ac:dyDescent="0.25">
      <c r="A66" s="17" t="s">
        <v>111</v>
      </c>
      <c r="B66" s="4" t="s">
        <v>112</v>
      </c>
      <c r="C66" s="6" t="s">
        <v>20</v>
      </c>
      <c r="D66" s="10">
        <v>9</v>
      </c>
      <c r="E66" s="12">
        <v>1100</v>
      </c>
      <c r="F66" s="18">
        <f t="shared" si="2"/>
        <v>9900</v>
      </c>
    </row>
    <row r="67" spans="1:7" x14ac:dyDescent="0.25">
      <c r="A67" s="17" t="s">
        <v>113</v>
      </c>
      <c r="B67" s="4" t="s">
        <v>114</v>
      </c>
      <c r="C67" s="6" t="s">
        <v>20</v>
      </c>
      <c r="D67" s="10">
        <v>3</v>
      </c>
      <c r="E67" s="12">
        <v>800</v>
      </c>
      <c r="F67" s="18">
        <f t="shared" si="2"/>
        <v>2400</v>
      </c>
    </row>
    <row r="68" spans="1:7" x14ac:dyDescent="0.25">
      <c r="A68" s="17" t="s">
        <v>115</v>
      </c>
      <c r="B68" s="4" t="s">
        <v>116</v>
      </c>
      <c r="C68" s="6" t="s">
        <v>20</v>
      </c>
      <c r="D68" s="10">
        <v>3</v>
      </c>
      <c r="E68" s="12">
        <v>900</v>
      </c>
      <c r="F68" s="18">
        <f t="shared" si="2"/>
        <v>2700</v>
      </c>
    </row>
    <row r="69" spans="1:7" x14ac:dyDescent="0.25">
      <c r="A69" s="17" t="s">
        <v>117</v>
      </c>
      <c r="B69" s="4" t="s">
        <v>118</v>
      </c>
      <c r="C69" s="6" t="s">
        <v>20</v>
      </c>
      <c r="D69" s="10">
        <v>1</v>
      </c>
      <c r="E69" s="12">
        <v>800</v>
      </c>
      <c r="F69" s="18">
        <f t="shared" si="2"/>
        <v>800</v>
      </c>
    </row>
    <row r="70" spans="1:7" x14ac:dyDescent="0.25">
      <c r="A70" s="17" t="s">
        <v>119</v>
      </c>
      <c r="B70" s="4" t="s">
        <v>120</v>
      </c>
      <c r="C70" s="6" t="s">
        <v>20</v>
      </c>
      <c r="D70" s="10">
        <v>1</v>
      </c>
      <c r="E70" s="12">
        <v>800</v>
      </c>
      <c r="F70" s="18">
        <f t="shared" si="2"/>
        <v>800</v>
      </c>
    </row>
    <row r="71" spans="1:7" x14ac:dyDescent="0.25">
      <c r="A71" s="17" t="s">
        <v>121</v>
      </c>
      <c r="B71" s="4" t="s">
        <v>122</v>
      </c>
      <c r="C71" s="6" t="s">
        <v>76</v>
      </c>
      <c r="D71" s="10">
        <v>1</v>
      </c>
      <c r="E71" s="12">
        <v>2800</v>
      </c>
      <c r="F71" s="18">
        <f t="shared" si="2"/>
        <v>2800</v>
      </c>
    </row>
    <row r="72" spans="1:7" x14ac:dyDescent="0.25">
      <c r="A72" s="17" t="s">
        <v>123</v>
      </c>
      <c r="B72" s="4" t="s">
        <v>124</v>
      </c>
      <c r="C72" s="6" t="s">
        <v>76</v>
      </c>
      <c r="D72" s="10">
        <v>1</v>
      </c>
      <c r="E72" s="12">
        <v>2500</v>
      </c>
      <c r="F72" s="18">
        <f t="shared" si="2"/>
        <v>2500</v>
      </c>
    </row>
    <row r="73" spans="1:7" x14ac:dyDescent="0.25">
      <c r="A73" s="15"/>
      <c r="B73" s="4"/>
      <c r="C73" s="6"/>
      <c r="D73" s="10"/>
      <c r="E73" s="12"/>
      <c r="F73" s="18"/>
    </row>
    <row r="74" spans="1:7" s="2" customFormat="1" ht="15.75" x14ac:dyDescent="0.25">
      <c r="A74" s="16" t="s">
        <v>125</v>
      </c>
      <c r="B74" s="5" t="s">
        <v>126</v>
      </c>
      <c r="C74" s="7" t="s">
        <v>6</v>
      </c>
      <c r="D74" s="11" t="s">
        <v>6</v>
      </c>
      <c r="E74" s="13" t="s">
        <v>6</v>
      </c>
      <c r="F74" s="19">
        <v>3465</v>
      </c>
      <c r="G74" s="14"/>
    </row>
    <row r="75" spans="1:7" x14ac:dyDescent="0.25">
      <c r="A75" s="17" t="s">
        <v>127</v>
      </c>
      <c r="B75" s="4" t="s">
        <v>128</v>
      </c>
      <c r="C75" s="6" t="s">
        <v>20</v>
      </c>
      <c r="D75" s="10">
        <v>45</v>
      </c>
      <c r="E75" s="12">
        <v>77</v>
      </c>
      <c r="F75" s="18">
        <f>D75*E75</f>
        <v>3465</v>
      </c>
    </row>
    <row r="76" spans="1:7" x14ac:dyDescent="0.25">
      <c r="A76" s="15"/>
      <c r="B76" s="4"/>
      <c r="C76" s="6"/>
      <c r="D76" s="10"/>
      <c r="E76" s="12"/>
      <c r="F76" s="18"/>
    </row>
    <row r="77" spans="1:7" s="2" customFormat="1" ht="15.75" x14ac:dyDescent="0.25">
      <c r="A77" s="16" t="s">
        <v>129</v>
      </c>
      <c r="B77" s="5" t="s">
        <v>130</v>
      </c>
      <c r="C77" s="7" t="s">
        <v>6</v>
      </c>
      <c r="D77" s="11" t="s">
        <v>6</v>
      </c>
      <c r="E77" s="13" t="s">
        <v>6</v>
      </c>
      <c r="F77" s="19">
        <v>1429</v>
      </c>
      <c r="G77" s="14"/>
    </row>
    <row r="78" spans="1:7" x14ac:dyDescent="0.25">
      <c r="A78" s="17" t="s">
        <v>131</v>
      </c>
      <c r="B78" s="4" t="s">
        <v>132</v>
      </c>
      <c r="C78" s="6" t="s">
        <v>20</v>
      </c>
      <c r="D78" s="10">
        <v>3</v>
      </c>
      <c r="E78" s="12">
        <v>265</v>
      </c>
      <c r="F78" s="18">
        <f>D78*E78</f>
        <v>795</v>
      </c>
    </row>
    <row r="79" spans="1:7" x14ac:dyDescent="0.25">
      <c r="A79" s="17" t="s">
        <v>133</v>
      </c>
      <c r="B79" s="4" t="s">
        <v>134</v>
      </c>
      <c r="C79" s="6" t="s">
        <v>20</v>
      </c>
      <c r="D79" s="10">
        <v>2</v>
      </c>
      <c r="E79" s="12">
        <v>317</v>
      </c>
      <c r="F79" s="18">
        <f>D79*E79</f>
        <v>634</v>
      </c>
    </row>
    <row r="80" spans="1:7" x14ac:dyDescent="0.25">
      <c r="A80" s="15"/>
      <c r="B80" s="4"/>
      <c r="C80" s="6"/>
      <c r="D80" s="10"/>
      <c r="E80" s="12"/>
      <c r="F80" s="18"/>
    </row>
    <row r="81" spans="1:7" s="2" customFormat="1" ht="15.75" x14ac:dyDescent="0.25">
      <c r="A81" s="16" t="s">
        <v>135</v>
      </c>
      <c r="B81" s="5" t="s">
        <v>136</v>
      </c>
      <c r="C81" s="7" t="s">
        <v>6</v>
      </c>
      <c r="D81" s="11" t="s">
        <v>6</v>
      </c>
      <c r="E81" s="13" t="s">
        <v>6</v>
      </c>
      <c r="F81" s="19">
        <v>26057</v>
      </c>
      <c r="G81" s="14"/>
    </row>
    <row r="82" spans="1:7" x14ac:dyDescent="0.25">
      <c r="A82" s="17" t="s">
        <v>137</v>
      </c>
      <c r="B82" s="4" t="s">
        <v>138</v>
      </c>
      <c r="C82" s="6" t="s">
        <v>53</v>
      </c>
      <c r="D82" s="10">
        <v>112</v>
      </c>
      <c r="E82" s="12">
        <v>93</v>
      </c>
      <c r="F82" s="18">
        <f>D82*E82</f>
        <v>10416</v>
      </c>
    </row>
    <row r="83" spans="1:7" x14ac:dyDescent="0.25">
      <c r="A83" s="17" t="s">
        <v>139</v>
      </c>
      <c r="B83" s="4" t="s">
        <v>140</v>
      </c>
      <c r="C83" s="6" t="s">
        <v>53</v>
      </c>
      <c r="D83" s="10">
        <v>5</v>
      </c>
      <c r="E83" s="12">
        <v>138</v>
      </c>
      <c r="F83" s="18">
        <f>D83*E83</f>
        <v>690</v>
      </c>
    </row>
    <row r="84" spans="1:7" x14ac:dyDescent="0.25">
      <c r="A84" s="17" t="s">
        <v>141</v>
      </c>
      <c r="B84" s="4" t="s">
        <v>142</v>
      </c>
      <c r="C84" s="6" t="s">
        <v>53</v>
      </c>
      <c r="D84" s="10">
        <v>105</v>
      </c>
      <c r="E84" s="12">
        <v>103</v>
      </c>
      <c r="F84" s="18">
        <f>D84*E84</f>
        <v>10815</v>
      </c>
    </row>
    <row r="85" spans="1:7" x14ac:dyDescent="0.25">
      <c r="A85" s="17" t="s">
        <v>143</v>
      </c>
      <c r="B85" s="4" t="s">
        <v>144</v>
      </c>
      <c r="C85" s="6" t="s">
        <v>76</v>
      </c>
      <c r="D85" s="10">
        <v>2</v>
      </c>
      <c r="E85" s="12">
        <v>502</v>
      </c>
      <c r="F85" s="18">
        <f>D85*E85</f>
        <v>1004</v>
      </c>
    </row>
    <row r="86" spans="1:7" x14ac:dyDescent="0.25">
      <c r="A86" s="17" t="s">
        <v>145</v>
      </c>
      <c r="B86" s="4" t="s">
        <v>146</v>
      </c>
      <c r="C86" s="6" t="s">
        <v>76</v>
      </c>
      <c r="D86" s="10">
        <v>6</v>
      </c>
      <c r="E86" s="12">
        <v>522</v>
      </c>
      <c r="F86" s="18">
        <f>D86*E86</f>
        <v>3132</v>
      </c>
    </row>
    <row r="87" spans="1:7" x14ac:dyDescent="0.25">
      <c r="A87" s="15"/>
      <c r="B87" s="4"/>
      <c r="C87" s="6"/>
      <c r="D87" s="10"/>
      <c r="E87" s="12"/>
      <c r="F87" s="18"/>
    </row>
    <row r="88" spans="1:7" s="2" customFormat="1" ht="15.75" x14ac:dyDescent="0.25">
      <c r="A88" s="16" t="s">
        <v>147</v>
      </c>
      <c r="B88" s="5" t="s">
        <v>148</v>
      </c>
      <c r="C88" s="7" t="s">
        <v>6</v>
      </c>
      <c r="D88" s="11" t="s">
        <v>6</v>
      </c>
      <c r="E88" s="13" t="s">
        <v>6</v>
      </c>
      <c r="F88" s="19">
        <v>2880</v>
      </c>
      <c r="G88" s="14"/>
    </row>
    <row r="89" spans="1:7" x14ac:dyDescent="0.25">
      <c r="A89" s="17" t="s">
        <v>149</v>
      </c>
      <c r="B89" s="4" t="s">
        <v>150</v>
      </c>
      <c r="C89" s="6" t="s">
        <v>20</v>
      </c>
      <c r="D89" s="10">
        <v>2</v>
      </c>
      <c r="E89" s="12">
        <v>390</v>
      </c>
      <c r="F89" s="18">
        <f>D89*E89</f>
        <v>780</v>
      </c>
    </row>
    <row r="90" spans="1:7" x14ac:dyDescent="0.25">
      <c r="A90" s="17" t="s">
        <v>151</v>
      </c>
      <c r="B90" s="4" t="s">
        <v>152</v>
      </c>
      <c r="C90" s="6" t="s">
        <v>20</v>
      </c>
      <c r="D90" s="10">
        <v>5</v>
      </c>
      <c r="E90" s="12">
        <v>300</v>
      </c>
      <c r="F90" s="18">
        <f>D90*E90</f>
        <v>1500</v>
      </c>
    </row>
    <row r="91" spans="1:7" x14ac:dyDescent="0.25">
      <c r="A91" s="17" t="s">
        <v>153</v>
      </c>
      <c r="B91" s="4" t="s">
        <v>154</v>
      </c>
      <c r="C91" s="6" t="s">
        <v>20</v>
      </c>
      <c r="D91" s="10">
        <v>2</v>
      </c>
      <c r="E91" s="12">
        <v>300</v>
      </c>
      <c r="F91" s="18">
        <f>D91*E91</f>
        <v>600</v>
      </c>
    </row>
    <row r="92" spans="1:7" x14ac:dyDescent="0.25">
      <c r="A92" s="15"/>
      <c r="B92" s="4"/>
      <c r="C92" s="6"/>
      <c r="D92" s="10"/>
      <c r="E92" s="12"/>
      <c r="F92" s="18"/>
    </row>
    <row r="93" spans="1:7" s="2" customFormat="1" ht="15.75" x14ac:dyDescent="0.25">
      <c r="A93" s="16" t="s">
        <v>155</v>
      </c>
      <c r="B93" s="5" t="s">
        <v>156</v>
      </c>
      <c r="C93" s="7" t="s">
        <v>6</v>
      </c>
      <c r="D93" s="11" t="s">
        <v>6</v>
      </c>
      <c r="E93" s="13" t="s">
        <v>6</v>
      </c>
      <c r="F93" s="19">
        <v>24030</v>
      </c>
      <c r="G93" s="14"/>
    </row>
    <row r="94" spans="1:7" x14ac:dyDescent="0.25">
      <c r="A94" s="17" t="s">
        <v>157</v>
      </c>
      <c r="B94" s="4" t="s">
        <v>158</v>
      </c>
      <c r="C94" s="6" t="s">
        <v>76</v>
      </c>
      <c r="D94" s="10">
        <v>27</v>
      </c>
      <c r="E94" s="12">
        <v>890</v>
      </c>
      <c r="F94" s="18">
        <f>D94*E94</f>
        <v>24030</v>
      </c>
    </row>
    <row r="95" spans="1:7" x14ac:dyDescent="0.25">
      <c r="A95" s="15"/>
      <c r="B95" s="4"/>
      <c r="C95" s="6"/>
      <c r="D95" s="10"/>
      <c r="E95" s="12"/>
      <c r="F95" s="18"/>
    </row>
    <row r="96" spans="1:7" s="2" customFormat="1" ht="15.75" x14ac:dyDescent="0.25">
      <c r="A96" s="16" t="s">
        <v>159</v>
      </c>
      <c r="B96" s="5" t="s">
        <v>160</v>
      </c>
      <c r="C96" s="7" t="s">
        <v>6</v>
      </c>
      <c r="D96" s="11" t="s">
        <v>6</v>
      </c>
      <c r="E96" s="13" t="s">
        <v>6</v>
      </c>
      <c r="F96" s="19">
        <v>2600</v>
      </c>
      <c r="G96" s="14"/>
    </row>
    <row r="97" spans="1:7" x14ac:dyDescent="0.25">
      <c r="A97" s="17" t="s">
        <v>161</v>
      </c>
      <c r="B97" s="4" t="s">
        <v>162</v>
      </c>
      <c r="C97" s="6" t="s">
        <v>20</v>
      </c>
      <c r="D97" s="10">
        <v>1</v>
      </c>
      <c r="E97" s="12">
        <v>2600</v>
      </c>
      <c r="F97" s="18">
        <f>D97*E97</f>
        <v>2600</v>
      </c>
    </row>
    <row r="98" spans="1:7" x14ac:dyDescent="0.25">
      <c r="A98" s="15"/>
      <c r="B98" s="4"/>
      <c r="C98" s="6"/>
      <c r="D98" s="10"/>
      <c r="E98" s="12"/>
      <c r="F98" s="18"/>
    </row>
    <row r="99" spans="1:7" s="2" customFormat="1" ht="15.75" x14ac:dyDescent="0.25">
      <c r="A99" s="16" t="s">
        <v>163</v>
      </c>
      <c r="B99" s="5" t="s">
        <v>164</v>
      </c>
      <c r="C99" s="7" t="s">
        <v>6</v>
      </c>
      <c r="D99" s="11" t="s">
        <v>6</v>
      </c>
      <c r="E99" s="13" t="s">
        <v>6</v>
      </c>
      <c r="F99" s="19">
        <v>3250</v>
      </c>
      <c r="G99" s="14"/>
    </row>
    <row r="100" spans="1:7" x14ac:dyDescent="0.25">
      <c r="A100" s="17" t="s">
        <v>165</v>
      </c>
      <c r="B100" s="4" t="s">
        <v>166</v>
      </c>
      <c r="C100" s="6" t="s">
        <v>76</v>
      </c>
      <c r="D100" s="10">
        <v>1</v>
      </c>
      <c r="E100" s="12">
        <v>2350</v>
      </c>
      <c r="F100" s="18">
        <f>D100*E100</f>
        <v>2350</v>
      </c>
    </row>
    <row r="101" spans="1:7" x14ac:dyDescent="0.25">
      <c r="A101" s="17" t="s">
        <v>167</v>
      </c>
      <c r="B101" s="4" t="s">
        <v>168</v>
      </c>
      <c r="C101" s="6" t="s">
        <v>76</v>
      </c>
      <c r="D101" s="10">
        <v>1</v>
      </c>
      <c r="E101" s="12">
        <v>900</v>
      </c>
      <c r="F101" s="18">
        <f>D101*E101</f>
        <v>900</v>
      </c>
    </row>
    <row r="102" spans="1:7" x14ac:dyDescent="0.25">
      <c r="A102" s="15"/>
      <c r="B102" s="4"/>
      <c r="C102" s="6"/>
      <c r="D102" s="10"/>
      <c r="E102" s="12"/>
      <c r="F102" s="18"/>
    </row>
    <row r="103" spans="1:7" s="2" customFormat="1" ht="15.75" x14ac:dyDescent="0.25">
      <c r="A103" s="16" t="s">
        <v>169</v>
      </c>
      <c r="B103" s="5" t="s">
        <v>170</v>
      </c>
      <c r="C103" s="7" t="s">
        <v>6</v>
      </c>
      <c r="D103" s="11" t="s">
        <v>6</v>
      </c>
      <c r="E103" s="13" t="s">
        <v>6</v>
      </c>
      <c r="F103" s="19">
        <v>15042.5</v>
      </c>
      <c r="G103" s="14"/>
    </row>
    <row r="104" spans="1:7" x14ac:dyDescent="0.25">
      <c r="A104" s="17" t="s">
        <v>171</v>
      </c>
      <c r="B104" s="4" t="s">
        <v>172</v>
      </c>
      <c r="C104" s="6" t="s">
        <v>20</v>
      </c>
      <c r="D104" s="10">
        <v>55</v>
      </c>
      <c r="E104" s="12">
        <v>72</v>
      </c>
      <c r="F104" s="18">
        <f>D104*E104</f>
        <v>3960</v>
      </c>
    </row>
    <row r="105" spans="1:7" x14ac:dyDescent="0.25">
      <c r="A105" s="17" t="s">
        <v>173</v>
      </c>
      <c r="B105" s="4" t="s">
        <v>174</v>
      </c>
      <c r="C105" s="6" t="s">
        <v>20</v>
      </c>
      <c r="D105" s="10">
        <v>55</v>
      </c>
      <c r="E105" s="12">
        <v>17.5</v>
      </c>
      <c r="F105" s="18">
        <f>D105*E105</f>
        <v>962.5</v>
      </c>
    </row>
    <row r="106" spans="1:7" x14ac:dyDescent="0.25">
      <c r="A106" s="17" t="s">
        <v>175</v>
      </c>
      <c r="B106" s="4" t="s">
        <v>176</v>
      </c>
      <c r="C106" s="6" t="s">
        <v>76</v>
      </c>
      <c r="D106" s="10">
        <v>55</v>
      </c>
      <c r="E106" s="12">
        <v>184</v>
      </c>
      <c r="F106" s="18">
        <f>D106*E106</f>
        <v>10120</v>
      </c>
    </row>
    <row r="107" spans="1:7" x14ac:dyDescent="0.25">
      <c r="A107" s="15"/>
      <c r="B107" s="4"/>
      <c r="C107" s="6"/>
      <c r="D107" s="10"/>
      <c r="E107" s="12"/>
      <c r="F107" s="18"/>
    </row>
    <row r="108" spans="1:7" s="2" customFormat="1" ht="15.75" x14ac:dyDescent="0.25">
      <c r="A108" s="16" t="s">
        <v>177</v>
      </c>
      <c r="B108" s="5" t="s">
        <v>178</v>
      </c>
      <c r="C108" s="7" t="s">
        <v>6</v>
      </c>
      <c r="D108" s="11" t="s">
        <v>6</v>
      </c>
      <c r="E108" s="13" t="s">
        <v>6</v>
      </c>
      <c r="F108" s="19">
        <v>18344</v>
      </c>
      <c r="G108" s="14"/>
    </row>
    <row r="109" spans="1:7" x14ac:dyDescent="0.25">
      <c r="A109" s="17" t="s">
        <v>179</v>
      </c>
      <c r="B109" s="4" t="s">
        <v>180</v>
      </c>
      <c r="C109" s="6" t="s">
        <v>20</v>
      </c>
      <c r="D109" s="10">
        <v>1</v>
      </c>
      <c r="E109" s="12">
        <v>69</v>
      </c>
      <c r="F109" s="18">
        <f t="shared" ref="F109:F118" si="3">D109*E109</f>
        <v>69</v>
      </c>
    </row>
    <row r="110" spans="1:7" x14ac:dyDescent="0.25">
      <c r="A110" s="17" t="s">
        <v>181</v>
      </c>
      <c r="B110" s="4" t="s">
        <v>182</v>
      </c>
      <c r="C110" s="6" t="s">
        <v>20</v>
      </c>
      <c r="D110" s="10">
        <v>1</v>
      </c>
      <c r="E110" s="12">
        <v>8430</v>
      </c>
      <c r="F110" s="18">
        <f t="shared" si="3"/>
        <v>8430</v>
      </c>
    </row>
    <row r="111" spans="1:7" x14ac:dyDescent="0.25">
      <c r="A111" s="17" t="s">
        <v>183</v>
      </c>
      <c r="B111" s="4" t="s">
        <v>184</v>
      </c>
      <c r="C111" s="6" t="s">
        <v>20</v>
      </c>
      <c r="D111" s="10">
        <v>1</v>
      </c>
      <c r="E111" s="12">
        <v>600</v>
      </c>
      <c r="F111" s="18">
        <f t="shared" si="3"/>
        <v>600</v>
      </c>
    </row>
    <row r="112" spans="1:7" x14ac:dyDescent="0.25">
      <c r="A112" s="17" t="s">
        <v>185</v>
      </c>
      <c r="B112" s="4" t="s">
        <v>186</v>
      </c>
      <c r="C112" s="6" t="s">
        <v>20</v>
      </c>
      <c r="D112" s="10">
        <v>1</v>
      </c>
      <c r="E112" s="12">
        <v>810</v>
      </c>
      <c r="F112" s="18">
        <f t="shared" si="3"/>
        <v>810</v>
      </c>
    </row>
    <row r="113" spans="1:7" x14ac:dyDescent="0.25">
      <c r="A113" s="17" t="s">
        <v>187</v>
      </c>
      <c r="B113" s="4" t="s">
        <v>188</v>
      </c>
      <c r="C113" s="6" t="s">
        <v>20</v>
      </c>
      <c r="D113" s="10">
        <v>1</v>
      </c>
      <c r="E113" s="12">
        <v>1410</v>
      </c>
      <c r="F113" s="18">
        <f t="shared" si="3"/>
        <v>1410</v>
      </c>
    </row>
    <row r="114" spans="1:7" x14ac:dyDescent="0.25">
      <c r="A114" s="17" t="s">
        <v>189</v>
      </c>
      <c r="B114" s="4" t="s">
        <v>190</v>
      </c>
      <c r="C114" s="6" t="s">
        <v>20</v>
      </c>
      <c r="D114" s="10">
        <v>1</v>
      </c>
      <c r="E114" s="12">
        <v>2360</v>
      </c>
      <c r="F114" s="18">
        <f t="shared" si="3"/>
        <v>2360</v>
      </c>
    </row>
    <row r="115" spans="1:7" x14ac:dyDescent="0.25">
      <c r="A115" s="17" t="s">
        <v>191</v>
      </c>
      <c r="B115" s="4" t="s">
        <v>192</v>
      </c>
      <c r="C115" s="6" t="s">
        <v>20</v>
      </c>
      <c r="D115" s="10">
        <v>1</v>
      </c>
      <c r="E115" s="12">
        <v>500</v>
      </c>
      <c r="F115" s="18">
        <f t="shared" si="3"/>
        <v>500</v>
      </c>
    </row>
    <row r="116" spans="1:7" x14ac:dyDescent="0.25">
      <c r="A116" s="17" t="s">
        <v>193</v>
      </c>
      <c r="B116" s="4" t="s">
        <v>194</v>
      </c>
      <c r="C116" s="6" t="s">
        <v>20</v>
      </c>
      <c r="D116" s="10">
        <v>3</v>
      </c>
      <c r="E116" s="12">
        <v>1060</v>
      </c>
      <c r="F116" s="18">
        <f t="shared" si="3"/>
        <v>3180</v>
      </c>
    </row>
    <row r="117" spans="1:7" x14ac:dyDescent="0.25">
      <c r="A117" s="17" t="s">
        <v>195</v>
      </c>
      <c r="B117" s="4" t="s">
        <v>196</v>
      </c>
      <c r="C117" s="6" t="s">
        <v>20</v>
      </c>
      <c r="D117" s="10">
        <v>1</v>
      </c>
      <c r="E117" s="12">
        <v>650</v>
      </c>
      <c r="F117" s="18">
        <f t="shared" si="3"/>
        <v>650</v>
      </c>
    </row>
    <row r="118" spans="1:7" x14ac:dyDescent="0.25">
      <c r="A118" s="17" t="s">
        <v>197</v>
      </c>
      <c r="B118" s="4" t="s">
        <v>198</v>
      </c>
      <c r="C118" s="6" t="s">
        <v>20</v>
      </c>
      <c r="D118" s="10">
        <v>1</v>
      </c>
      <c r="E118" s="12">
        <v>335</v>
      </c>
      <c r="F118" s="18">
        <f t="shared" si="3"/>
        <v>335</v>
      </c>
    </row>
    <row r="119" spans="1:7" x14ac:dyDescent="0.25">
      <c r="A119" s="15"/>
      <c r="B119" s="4"/>
      <c r="C119" s="6"/>
      <c r="D119" s="10"/>
      <c r="E119" s="12"/>
      <c r="F119" s="18"/>
    </row>
    <row r="120" spans="1:7" x14ac:dyDescent="0.25">
      <c r="A120" s="15"/>
      <c r="B120" s="4"/>
      <c r="C120" s="6"/>
      <c r="D120" s="10"/>
      <c r="E120" s="12"/>
      <c r="F120" s="18"/>
    </row>
    <row r="121" spans="1:7" s="2" customFormat="1" ht="15.75" x14ac:dyDescent="0.25">
      <c r="A121" s="16" t="s">
        <v>199</v>
      </c>
      <c r="B121" s="5" t="s">
        <v>200</v>
      </c>
      <c r="C121" s="7" t="s">
        <v>6</v>
      </c>
      <c r="D121" s="11" t="s">
        <v>6</v>
      </c>
      <c r="E121" s="13" t="s">
        <v>6</v>
      </c>
      <c r="F121" s="19">
        <v>354320</v>
      </c>
      <c r="G121" s="14"/>
    </row>
    <row r="122" spans="1:7" x14ac:dyDescent="0.25">
      <c r="A122" s="15"/>
      <c r="B122" s="4"/>
      <c r="C122" s="6"/>
      <c r="D122" s="10"/>
      <c r="E122" s="12"/>
      <c r="F122" s="18"/>
    </row>
    <row r="123" spans="1:7" s="2" customFormat="1" ht="15.75" x14ac:dyDescent="0.25">
      <c r="A123" s="16" t="s">
        <v>201</v>
      </c>
      <c r="B123" s="5" t="s">
        <v>202</v>
      </c>
      <c r="C123" s="7" t="s">
        <v>6</v>
      </c>
      <c r="D123" s="11" t="s">
        <v>6</v>
      </c>
      <c r="E123" s="13" t="s">
        <v>6</v>
      </c>
      <c r="F123" s="19">
        <v>59805</v>
      </c>
      <c r="G123" s="14"/>
    </row>
    <row r="124" spans="1:7" x14ac:dyDescent="0.25">
      <c r="A124" s="17" t="s">
        <v>203</v>
      </c>
      <c r="B124" s="4" t="s">
        <v>204</v>
      </c>
      <c r="C124" s="6" t="s">
        <v>53</v>
      </c>
      <c r="D124" s="10">
        <v>80</v>
      </c>
      <c r="E124" s="12">
        <v>150</v>
      </c>
      <c r="F124" s="18">
        <f>D124*E124</f>
        <v>12000</v>
      </c>
    </row>
    <row r="125" spans="1:7" x14ac:dyDescent="0.25">
      <c r="A125" s="17" t="s">
        <v>205</v>
      </c>
      <c r="B125" s="4" t="s">
        <v>206</v>
      </c>
      <c r="C125" s="6" t="s">
        <v>53</v>
      </c>
      <c r="D125" s="10">
        <v>240</v>
      </c>
      <c r="E125" s="12">
        <v>160</v>
      </c>
      <c r="F125" s="18">
        <f>D125*E125</f>
        <v>38400</v>
      </c>
    </row>
    <row r="126" spans="1:7" x14ac:dyDescent="0.25">
      <c r="A126" s="17" t="s">
        <v>207</v>
      </c>
      <c r="B126" s="4" t="s">
        <v>208</v>
      </c>
      <c r="C126" s="6" t="s">
        <v>53</v>
      </c>
      <c r="D126" s="10">
        <v>450</v>
      </c>
      <c r="E126" s="12">
        <v>16</v>
      </c>
      <c r="F126" s="18">
        <f>D126*E126</f>
        <v>7200</v>
      </c>
    </row>
    <row r="127" spans="1:7" x14ac:dyDescent="0.25">
      <c r="A127" s="17" t="s">
        <v>209</v>
      </c>
      <c r="B127" s="4" t="s">
        <v>210</v>
      </c>
      <c r="C127" s="6" t="s">
        <v>53</v>
      </c>
      <c r="D127" s="10">
        <v>49</v>
      </c>
      <c r="E127" s="12">
        <v>45</v>
      </c>
      <c r="F127" s="18">
        <f>D127*E127</f>
        <v>2205</v>
      </c>
    </row>
    <row r="128" spans="1:7" x14ac:dyDescent="0.25">
      <c r="A128" s="15"/>
      <c r="B128" s="4"/>
      <c r="C128" s="6"/>
      <c r="D128" s="10"/>
      <c r="E128" s="12"/>
      <c r="F128" s="18"/>
    </row>
    <row r="129" spans="1:7" s="2" customFormat="1" ht="15.75" x14ac:dyDescent="0.25">
      <c r="A129" s="16" t="s">
        <v>211</v>
      </c>
      <c r="B129" s="5" t="s">
        <v>212</v>
      </c>
      <c r="C129" s="7" t="s">
        <v>6</v>
      </c>
      <c r="D129" s="11" t="s">
        <v>6</v>
      </c>
      <c r="E129" s="13" t="s">
        <v>6</v>
      </c>
      <c r="F129" s="19">
        <v>41850</v>
      </c>
      <c r="G129" s="14"/>
    </row>
    <row r="130" spans="1:7" x14ac:dyDescent="0.25">
      <c r="A130" s="17" t="s">
        <v>213</v>
      </c>
      <c r="B130" s="4" t="s">
        <v>214</v>
      </c>
      <c r="C130" s="6" t="s">
        <v>53</v>
      </c>
      <c r="D130" s="10">
        <v>580</v>
      </c>
      <c r="E130" s="12">
        <v>23</v>
      </c>
      <c r="F130" s="18">
        <f t="shared" ref="F130:F137" si="4">D130*E130</f>
        <v>13340</v>
      </c>
    </row>
    <row r="131" spans="1:7" x14ac:dyDescent="0.25">
      <c r="A131" s="17" t="s">
        <v>215</v>
      </c>
      <c r="B131" s="4" t="s">
        <v>216</v>
      </c>
      <c r="C131" s="6" t="s">
        <v>53</v>
      </c>
      <c r="D131" s="10">
        <v>120</v>
      </c>
      <c r="E131" s="12">
        <v>93</v>
      </c>
      <c r="F131" s="18">
        <f t="shared" si="4"/>
        <v>11160</v>
      </c>
    </row>
    <row r="132" spans="1:7" x14ac:dyDescent="0.25">
      <c r="A132" s="17" t="s">
        <v>217</v>
      </c>
      <c r="B132" s="4" t="s">
        <v>218</v>
      </c>
      <c r="C132" s="6" t="s">
        <v>53</v>
      </c>
      <c r="D132" s="10">
        <v>120</v>
      </c>
      <c r="E132" s="12">
        <v>9</v>
      </c>
      <c r="F132" s="18">
        <f t="shared" si="4"/>
        <v>1080</v>
      </c>
    </row>
    <row r="133" spans="1:7" x14ac:dyDescent="0.25">
      <c r="A133" s="17" t="s">
        <v>219</v>
      </c>
      <c r="B133" s="4" t="s">
        <v>220</v>
      </c>
      <c r="C133" s="6" t="s">
        <v>53</v>
      </c>
      <c r="D133" s="10">
        <v>340</v>
      </c>
      <c r="E133" s="12">
        <v>16</v>
      </c>
      <c r="F133" s="18">
        <f t="shared" si="4"/>
        <v>5440</v>
      </c>
    </row>
    <row r="134" spans="1:7" x14ac:dyDescent="0.25">
      <c r="A134" s="17" t="s">
        <v>221</v>
      </c>
      <c r="B134" s="4" t="s">
        <v>222</v>
      </c>
      <c r="C134" s="6" t="s">
        <v>53</v>
      </c>
      <c r="D134" s="10">
        <v>40</v>
      </c>
      <c r="E134" s="12">
        <v>16</v>
      </c>
      <c r="F134" s="18">
        <f t="shared" si="4"/>
        <v>640</v>
      </c>
    </row>
    <row r="135" spans="1:7" x14ac:dyDescent="0.25">
      <c r="A135" s="17" t="s">
        <v>223</v>
      </c>
      <c r="B135" s="4" t="s">
        <v>224</v>
      </c>
      <c r="C135" s="6" t="s">
        <v>53</v>
      </c>
      <c r="D135" s="10">
        <v>150</v>
      </c>
      <c r="E135" s="12">
        <v>45</v>
      </c>
      <c r="F135" s="18">
        <f t="shared" si="4"/>
        <v>6750</v>
      </c>
    </row>
    <row r="136" spans="1:7" x14ac:dyDescent="0.25">
      <c r="A136" s="17" t="s">
        <v>225</v>
      </c>
      <c r="B136" s="4" t="s">
        <v>226</v>
      </c>
      <c r="C136" s="6" t="s">
        <v>53</v>
      </c>
      <c r="D136" s="10">
        <v>30</v>
      </c>
      <c r="E136" s="12">
        <v>48</v>
      </c>
      <c r="F136" s="18">
        <f t="shared" si="4"/>
        <v>1440</v>
      </c>
    </row>
    <row r="137" spans="1:7" x14ac:dyDescent="0.25">
      <c r="A137" s="17" t="s">
        <v>227</v>
      </c>
      <c r="B137" s="4" t="s">
        <v>228</v>
      </c>
      <c r="C137" s="6" t="s">
        <v>53</v>
      </c>
      <c r="D137" s="10">
        <v>80</v>
      </c>
      <c r="E137" s="12">
        <v>25</v>
      </c>
      <c r="F137" s="18">
        <f t="shared" si="4"/>
        <v>2000</v>
      </c>
    </row>
    <row r="138" spans="1:7" x14ac:dyDescent="0.25">
      <c r="A138" s="15"/>
      <c r="B138" s="4"/>
      <c r="C138" s="6"/>
      <c r="D138" s="10"/>
      <c r="E138" s="12"/>
      <c r="F138" s="18"/>
    </row>
    <row r="139" spans="1:7" s="2" customFormat="1" ht="15.75" x14ac:dyDescent="0.25">
      <c r="A139" s="16" t="s">
        <v>229</v>
      </c>
      <c r="B139" s="5" t="s">
        <v>230</v>
      </c>
      <c r="C139" s="7" t="s">
        <v>6</v>
      </c>
      <c r="D139" s="11" t="s">
        <v>6</v>
      </c>
      <c r="E139" s="13" t="s">
        <v>6</v>
      </c>
      <c r="F139" s="19">
        <v>4100</v>
      </c>
      <c r="G139" s="14"/>
    </row>
    <row r="140" spans="1:7" x14ac:dyDescent="0.25">
      <c r="A140" s="17" t="s">
        <v>231</v>
      </c>
      <c r="B140" s="4" t="s">
        <v>232</v>
      </c>
      <c r="C140" s="6" t="s">
        <v>76</v>
      </c>
      <c r="D140" s="10">
        <v>8</v>
      </c>
      <c r="E140" s="12">
        <v>450</v>
      </c>
      <c r="F140" s="18">
        <f>D140*E140</f>
        <v>3600</v>
      </c>
    </row>
    <row r="141" spans="1:7" x14ac:dyDescent="0.25">
      <c r="A141" s="17" t="s">
        <v>233</v>
      </c>
      <c r="B141" s="4" t="s">
        <v>234</v>
      </c>
      <c r="C141" s="6" t="s">
        <v>20</v>
      </c>
      <c r="D141" s="10">
        <v>2</v>
      </c>
      <c r="E141" s="12">
        <v>250</v>
      </c>
      <c r="F141" s="18">
        <f>D141*E141</f>
        <v>500</v>
      </c>
    </row>
    <row r="142" spans="1:7" x14ac:dyDescent="0.25">
      <c r="A142" s="15"/>
      <c r="B142" s="4"/>
      <c r="C142" s="6"/>
      <c r="D142" s="10"/>
      <c r="E142" s="12"/>
      <c r="F142" s="18"/>
    </row>
    <row r="143" spans="1:7" s="2" customFormat="1" ht="15.75" x14ac:dyDescent="0.25">
      <c r="A143" s="16" t="s">
        <v>235</v>
      </c>
      <c r="B143" s="5" t="s">
        <v>236</v>
      </c>
      <c r="C143" s="7" t="s">
        <v>6</v>
      </c>
      <c r="D143" s="11" t="s">
        <v>6</v>
      </c>
      <c r="E143" s="13" t="s">
        <v>6</v>
      </c>
      <c r="F143" s="19">
        <v>31820</v>
      </c>
      <c r="G143" s="14"/>
    </row>
    <row r="144" spans="1:7" x14ac:dyDescent="0.25">
      <c r="A144" s="17" t="s">
        <v>237</v>
      </c>
      <c r="B144" s="4" t="s">
        <v>238</v>
      </c>
      <c r="C144" s="6" t="s">
        <v>76</v>
      </c>
      <c r="D144" s="10">
        <v>1</v>
      </c>
      <c r="E144" s="12">
        <v>320</v>
      </c>
      <c r="F144" s="18">
        <f>D144*E144</f>
        <v>320</v>
      </c>
    </row>
    <row r="145" spans="1:7" x14ac:dyDescent="0.25">
      <c r="A145" s="17" t="s">
        <v>239</v>
      </c>
      <c r="B145" s="4" t="s">
        <v>240</v>
      </c>
      <c r="C145" s="6" t="s">
        <v>241</v>
      </c>
      <c r="D145" s="10">
        <v>98</v>
      </c>
      <c r="E145" s="12">
        <v>250</v>
      </c>
      <c r="F145" s="18">
        <f>D145*E145</f>
        <v>24500</v>
      </c>
    </row>
    <row r="146" spans="1:7" x14ac:dyDescent="0.25">
      <c r="A146" s="17" t="s">
        <v>242</v>
      </c>
      <c r="B146" s="4" t="s">
        <v>243</v>
      </c>
      <c r="C146" s="6" t="s">
        <v>241</v>
      </c>
      <c r="D146" s="10">
        <v>28</v>
      </c>
      <c r="E146" s="12">
        <v>250</v>
      </c>
      <c r="F146" s="18">
        <f>D146*E146</f>
        <v>7000</v>
      </c>
    </row>
    <row r="147" spans="1:7" x14ac:dyDescent="0.25">
      <c r="A147" s="15"/>
      <c r="B147" s="4"/>
      <c r="C147" s="6"/>
      <c r="D147" s="10"/>
      <c r="E147" s="12"/>
      <c r="F147" s="18"/>
    </row>
    <row r="148" spans="1:7" s="2" customFormat="1" ht="15.75" x14ac:dyDescent="0.25">
      <c r="A148" s="16" t="s">
        <v>244</v>
      </c>
      <c r="B148" s="5" t="s">
        <v>245</v>
      </c>
      <c r="C148" s="7" t="s">
        <v>6</v>
      </c>
      <c r="D148" s="11" t="s">
        <v>6</v>
      </c>
      <c r="E148" s="13" t="s">
        <v>6</v>
      </c>
      <c r="F148" s="19">
        <v>46535</v>
      </c>
      <c r="G148" s="14"/>
    </row>
    <row r="149" spans="1:7" x14ac:dyDescent="0.25">
      <c r="A149" s="17" t="s">
        <v>246</v>
      </c>
      <c r="B149" s="4" t="s">
        <v>247</v>
      </c>
      <c r="C149" s="6" t="s">
        <v>13</v>
      </c>
      <c r="D149" s="10">
        <v>6</v>
      </c>
      <c r="E149" s="12">
        <v>4600</v>
      </c>
      <c r="F149" s="18">
        <f t="shared" ref="F149:F165" si="5">D149*E149</f>
        <v>27600</v>
      </c>
    </row>
    <row r="150" spans="1:7" x14ac:dyDescent="0.25">
      <c r="A150" s="17" t="s">
        <v>248</v>
      </c>
      <c r="B150" s="4" t="s">
        <v>249</v>
      </c>
      <c r="C150" s="6" t="s">
        <v>20</v>
      </c>
      <c r="D150" s="10">
        <v>1</v>
      </c>
      <c r="E150" s="12">
        <v>1760</v>
      </c>
      <c r="F150" s="18">
        <f t="shared" si="5"/>
        <v>1760</v>
      </c>
    </row>
    <row r="151" spans="1:7" x14ac:dyDescent="0.25">
      <c r="A151" s="17" t="s">
        <v>250</v>
      </c>
      <c r="B151" s="4" t="s">
        <v>251</v>
      </c>
      <c r="C151" s="6" t="s">
        <v>20</v>
      </c>
      <c r="D151" s="10">
        <v>1</v>
      </c>
      <c r="E151" s="12">
        <v>1900</v>
      </c>
      <c r="F151" s="18">
        <f t="shared" si="5"/>
        <v>1900</v>
      </c>
    </row>
    <row r="152" spans="1:7" x14ac:dyDescent="0.25">
      <c r="A152" s="17" t="s">
        <v>252</v>
      </c>
      <c r="B152" s="4" t="s">
        <v>253</v>
      </c>
      <c r="C152" s="6" t="s">
        <v>20</v>
      </c>
      <c r="D152" s="10">
        <v>8</v>
      </c>
      <c r="E152" s="12">
        <v>260</v>
      </c>
      <c r="F152" s="18">
        <f t="shared" si="5"/>
        <v>2080</v>
      </c>
    </row>
    <row r="153" spans="1:7" x14ac:dyDescent="0.25">
      <c r="A153" s="17" t="s">
        <v>254</v>
      </c>
      <c r="B153" s="4" t="s">
        <v>255</v>
      </c>
      <c r="C153" s="6" t="s">
        <v>20</v>
      </c>
      <c r="D153" s="10">
        <v>75</v>
      </c>
      <c r="E153" s="12">
        <v>45</v>
      </c>
      <c r="F153" s="18">
        <f t="shared" si="5"/>
        <v>3375</v>
      </c>
    </row>
    <row r="154" spans="1:7" x14ac:dyDescent="0.25">
      <c r="A154" s="17" t="s">
        <v>256</v>
      </c>
      <c r="B154" s="4" t="s">
        <v>257</v>
      </c>
      <c r="C154" s="6" t="s">
        <v>20</v>
      </c>
      <c r="D154" s="10">
        <v>2</v>
      </c>
      <c r="E154" s="12">
        <v>60</v>
      </c>
      <c r="F154" s="18">
        <f t="shared" si="5"/>
        <v>120</v>
      </c>
    </row>
    <row r="155" spans="1:7" x14ac:dyDescent="0.25">
      <c r="A155" s="17" t="s">
        <v>258</v>
      </c>
      <c r="B155" s="4" t="s">
        <v>259</v>
      </c>
      <c r="C155" s="6" t="s">
        <v>20</v>
      </c>
      <c r="D155" s="10">
        <v>12</v>
      </c>
      <c r="E155" s="12">
        <v>210</v>
      </c>
      <c r="F155" s="18">
        <f t="shared" si="5"/>
        <v>2520</v>
      </c>
    </row>
    <row r="156" spans="1:7" x14ac:dyDescent="0.25">
      <c r="A156" s="17" t="s">
        <v>260</v>
      </c>
      <c r="B156" s="4" t="s">
        <v>261</v>
      </c>
      <c r="C156" s="6" t="s">
        <v>20</v>
      </c>
      <c r="D156" s="10">
        <v>6</v>
      </c>
      <c r="E156" s="12">
        <v>450</v>
      </c>
      <c r="F156" s="18">
        <f t="shared" si="5"/>
        <v>2700</v>
      </c>
    </row>
    <row r="157" spans="1:7" x14ac:dyDescent="0.25">
      <c r="A157" s="17" t="s">
        <v>262</v>
      </c>
      <c r="B157" s="4" t="s">
        <v>263</v>
      </c>
      <c r="C157" s="6" t="s">
        <v>20</v>
      </c>
      <c r="D157" s="10">
        <v>3</v>
      </c>
      <c r="E157" s="12">
        <v>40</v>
      </c>
      <c r="F157" s="18">
        <f t="shared" si="5"/>
        <v>120</v>
      </c>
    </row>
    <row r="158" spans="1:7" x14ac:dyDescent="0.25">
      <c r="A158" s="17" t="s">
        <v>264</v>
      </c>
      <c r="B158" s="4" t="s">
        <v>265</v>
      </c>
      <c r="C158" s="6" t="s">
        <v>13</v>
      </c>
      <c r="D158" s="10">
        <v>1</v>
      </c>
      <c r="E158" s="12">
        <v>350</v>
      </c>
      <c r="F158" s="18">
        <f t="shared" si="5"/>
        <v>350</v>
      </c>
    </row>
    <row r="159" spans="1:7" x14ac:dyDescent="0.25">
      <c r="A159" s="17" t="s">
        <v>266</v>
      </c>
      <c r="B159" s="4" t="s">
        <v>267</v>
      </c>
      <c r="C159" s="6" t="s">
        <v>20</v>
      </c>
      <c r="D159" s="10">
        <v>1</v>
      </c>
      <c r="E159" s="12">
        <v>390</v>
      </c>
      <c r="F159" s="18">
        <f t="shared" si="5"/>
        <v>390</v>
      </c>
    </row>
    <row r="160" spans="1:7" x14ac:dyDescent="0.25">
      <c r="A160" s="17" t="s">
        <v>268</v>
      </c>
      <c r="B160" s="4" t="s">
        <v>269</v>
      </c>
      <c r="C160" s="6" t="s">
        <v>20</v>
      </c>
      <c r="D160" s="10">
        <v>1</v>
      </c>
      <c r="E160" s="12">
        <v>700</v>
      </c>
      <c r="F160" s="18">
        <f t="shared" si="5"/>
        <v>700</v>
      </c>
    </row>
    <row r="161" spans="1:7" x14ac:dyDescent="0.25">
      <c r="A161" s="17" t="s">
        <v>270</v>
      </c>
      <c r="B161" s="4" t="s">
        <v>271</v>
      </c>
      <c r="C161" s="6" t="s">
        <v>20</v>
      </c>
      <c r="D161" s="10">
        <v>1</v>
      </c>
      <c r="E161" s="12">
        <v>160</v>
      </c>
      <c r="F161" s="18">
        <f t="shared" si="5"/>
        <v>160</v>
      </c>
    </row>
    <row r="162" spans="1:7" x14ac:dyDescent="0.25">
      <c r="A162" s="17" t="s">
        <v>272</v>
      </c>
      <c r="B162" s="4" t="s">
        <v>273</v>
      </c>
      <c r="C162" s="6" t="s">
        <v>20</v>
      </c>
      <c r="D162" s="10">
        <v>2</v>
      </c>
      <c r="E162" s="12">
        <v>120</v>
      </c>
      <c r="F162" s="18">
        <f t="shared" si="5"/>
        <v>240</v>
      </c>
    </row>
    <row r="163" spans="1:7" x14ac:dyDescent="0.25">
      <c r="A163" s="17" t="s">
        <v>274</v>
      </c>
      <c r="B163" s="4" t="s">
        <v>275</v>
      </c>
      <c r="C163" s="6" t="s">
        <v>20</v>
      </c>
      <c r="D163" s="10">
        <v>2</v>
      </c>
      <c r="E163" s="12">
        <v>30</v>
      </c>
      <c r="F163" s="18">
        <f t="shared" si="5"/>
        <v>60</v>
      </c>
    </row>
    <row r="164" spans="1:7" x14ac:dyDescent="0.25">
      <c r="A164" s="17" t="s">
        <v>276</v>
      </c>
      <c r="B164" s="4" t="s">
        <v>277</v>
      </c>
      <c r="C164" s="6" t="s">
        <v>20</v>
      </c>
      <c r="D164" s="10">
        <v>1</v>
      </c>
      <c r="E164" s="12">
        <v>2100</v>
      </c>
      <c r="F164" s="18">
        <f t="shared" si="5"/>
        <v>2100</v>
      </c>
    </row>
    <row r="165" spans="1:7" x14ac:dyDescent="0.25">
      <c r="A165" s="17" t="s">
        <v>278</v>
      </c>
      <c r="B165" s="4" t="s">
        <v>279</v>
      </c>
      <c r="C165" s="6" t="s">
        <v>20</v>
      </c>
      <c r="D165" s="10">
        <v>3</v>
      </c>
      <c r="E165" s="12">
        <v>120</v>
      </c>
      <c r="F165" s="18">
        <f t="shared" si="5"/>
        <v>360</v>
      </c>
    </row>
    <row r="166" spans="1:7" x14ac:dyDescent="0.25">
      <c r="A166" s="15"/>
      <c r="B166" s="4"/>
      <c r="C166" s="6"/>
      <c r="D166" s="10"/>
      <c r="E166" s="12"/>
      <c r="F166" s="18"/>
    </row>
    <row r="167" spans="1:7" s="2" customFormat="1" ht="15.75" x14ac:dyDescent="0.25">
      <c r="A167" s="16" t="s">
        <v>280</v>
      </c>
      <c r="B167" s="5" t="s">
        <v>281</v>
      </c>
      <c r="C167" s="7" t="s">
        <v>6</v>
      </c>
      <c r="D167" s="11" t="s">
        <v>6</v>
      </c>
      <c r="E167" s="13" t="s">
        <v>6</v>
      </c>
      <c r="F167" s="19">
        <v>99090</v>
      </c>
      <c r="G167" s="14"/>
    </row>
    <row r="168" spans="1:7" x14ac:dyDescent="0.25">
      <c r="A168" s="17" t="s">
        <v>282</v>
      </c>
      <c r="B168" s="4" t="s">
        <v>283</v>
      </c>
      <c r="C168" s="6" t="s">
        <v>284</v>
      </c>
      <c r="D168" s="10"/>
      <c r="E168" s="12"/>
      <c r="F168" s="18"/>
    </row>
    <row r="169" spans="1:7" x14ac:dyDescent="0.25">
      <c r="A169" s="17" t="s">
        <v>282</v>
      </c>
      <c r="B169" s="4" t="s">
        <v>285</v>
      </c>
      <c r="C169" s="6" t="s">
        <v>20</v>
      </c>
      <c r="D169" s="10">
        <v>194</v>
      </c>
      <c r="E169" s="12">
        <v>120</v>
      </c>
      <c r="F169" s="18">
        <f t="shared" ref="F169:F186" si="6">D169*E169</f>
        <v>23280</v>
      </c>
    </row>
    <row r="170" spans="1:7" x14ac:dyDescent="0.25">
      <c r="A170" s="17" t="s">
        <v>286</v>
      </c>
      <c r="B170" s="4" t="s">
        <v>287</v>
      </c>
      <c r="C170" s="6" t="s">
        <v>20</v>
      </c>
      <c r="D170" s="10">
        <v>4</v>
      </c>
      <c r="E170" s="12">
        <v>640</v>
      </c>
      <c r="F170" s="18">
        <f t="shared" si="6"/>
        <v>2560</v>
      </c>
    </row>
    <row r="171" spans="1:7" x14ac:dyDescent="0.25">
      <c r="A171" s="17" t="s">
        <v>288</v>
      </c>
      <c r="B171" s="4" t="s">
        <v>289</v>
      </c>
      <c r="C171" s="6" t="s">
        <v>20</v>
      </c>
      <c r="D171" s="10">
        <v>24</v>
      </c>
      <c r="E171" s="12">
        <v>430</v>
      </c>
      <c r="F171" s="18">
        <f t="shared" si="6"/>
        <v>10320</v>
      </c>
    </row>
    <row r="172" spans="1:7" x14ac:dyDescent="0.25">
      <c r="A172" s="17" t="s">
        <v>290</v>
      </c>
      <c r="B172" s="4" t="s">
        <v>291</v>
      </c>
      <c r="C172" s="6" t="s">
        <v>241</v>
      </c>
      <c r="D172" s="10">
        <v>21</v>
      </c>
      <c r="E172" s="12">
        <v>1100</v>
      </c>
      <c r="F172" s="18">
        <f t="shared" si="6"/>
        <v>23100</v>
      </c>
    </row>
    <row r="173" spans="1:7" x14ac:dyDescent="0.25">
      <c r="A173" s="17" t="s">
        <v>292</v>
      </c>
      <c r="B173" s="4" t="s">
        <v>293</v>
      </c>
      <c r="C173" s="6" t="s">
        <v>241</v>
      </c>
      <c r="D173" s="10">
        <v>7</v>
      </c>
      <c r="E173" s="12">
        <v>980</v>
      </c>
      <c r="F173" s="18">
        <f t="shared" si="6"/>
        <v>6860</v>
      </c>
    </row>
    <row r="174" spans="1:7" x14ac:dyDescent="0.25">
      <c r="A174" s="17" t="s">
        <v>294</v>
      </c>
      <c r="B174" s="4" t="s">
        <v>295</v>
      </c>
      <c r="C174" s="6" t="s">
        <v>241</v>
      </c>
      <c r="D174" s="10">
        <v>3</v>
      </c>
      <c r="E174" s="12">
        <v>870</v>
      </c>
      <c r="F174" s="18">
        <f t="shared" si="6"/>
        <v>2610</v>
      </c>
    </row>
    <row r="175" spans="1:7" x14ac:dyDescent="0.25">
      <c r="A175" s="17" t="s">
        <v>296</v>
      </c>
      <c r="B175" s="4" t="s">
        <v>297</v>
      </c>
      <c r="C175" s="6" t="s">
        <v>20</v>
      </c>
      <c r="D175" s="10">
        <v>65</v>
      </c>
      <c r="E175" s="12">
        <v>180</v>
      </c>
      <c r="F175" s="18">
        <f t="shared" si="6"/>
        <v>11700</v>
      </c>
    </row>
    <row r="176" spans="1:7" x14ac:dyDescent="0.25">
      <c r="A176" s="17" t="s">
        <v>298</v>
      </c>
      <c r="B176" s="4" t="s">
        <v>299</v>
      </c>
      <c r="C176" s="6" t="s">
        <v>241</v>
      </c>
      <c r="D176" s="10">
        <v>36</v>
      </c>
      <c r="E176" s="12">
        <v>120</v>
      </c>
      <c r="F176" s="18">
        <f t="shared" si="6"/>
        <v>4320</v>
      </c>
    </row>
    <row r="177" spans="1:7" x14ac:dyDescent="0.25">
      <c r="A177" s="17" t="s">
        <v>300</v>
      </c>
      <c r="B177" s="4" t="s">
        <v>301</v>
      </c>
      <c r="C177" s="6" t="s">
        <v>241</v>
      </c>
      <c r="D177" s="10">
        <v>11</v>
      </c>
      <c r="E177" s="12">
        <v>120</v>
      </c>
      <c r="F177" s="18">
        <f t="shared" si="6"/>
        <v>1320</v>
      </c>
    </row>
    <row r="178" spans="1:7" x14ac:dyDescent="0.25">
      <c r="A178" s="17" t="s">
        <v>302</v>
      </c>
      <c r="B178" s="4" t="s">
        <v>303</v>
      </c>
      <c r="C178" s="6" t="s">
        <v>241</v>
      </c>
      <c r="D178" s="10">
        <v>98</v>
      </c>
      <c r="E178" s="12">
        <v>60</v>
      </c>
      <c r="F178" s="18">
        <f t="shared" si="6"/>
        <v>5880</v>
      </c>
    </row>
    <row r="179" spans="1:7" x14ac:dyDescent="0.25">
      <c r="A179" s="17" t="s">
        <v>304</v>
      </c>
      <c r="B179" s="4" t="s">
        <v>305</v>
      </c>
      <c r="C179" s="6" t="s">
        <v>241</v>
      </c>
      <c r="D179" s="10">
        <v>4</v>
      </c>
      <c r="E179" s="12">
        <v>100</v>
      </c>
      <c r="F179" s="18">
        <f t="shared" si="6"/>
        <v>400</v>
      </c>
    </row>
    <row r="180" spans="1:7" x14ac:dyDescent="0.25">
      <c r="A180" s="17" t="s">
        <v>306</v>
      </c>
      <c r="B180" s="4" t="s">
        <v>307</v>
      </c>
      <c r="C180" s="6" t="s">
        <v>241</v>
      </c>
      <c r="D180" s="10">
        <v>20</v>
      </c>
      <c r="E180" s="12">
        <v>100</v>
      </c>
      <c r="F180" s="18">
        <f t="shared" si="6"/>
        <v>2000</v>
      </c>
    </row>
    <row r="181" spans="1:7" x14ac:dyDescent="0.25">
      <c r="A181" s="17" t="s">
        <v>308</v>
      </c>
      <c r="B181" s="4" t="s">
        <v>309</v>
      </c>
      <c r="C181" s="6" t="s">
        <v>20</v>
      </c>
      <c r="D181" s="10">
        <v>24</v>
      </c>
      <c r="E181" s="12">
        <v>80</v>
      </c>
      <c r="F181" s="18">
        <f t="shared" si="6"/>
        <v>1920</v>
      </c>
    </row>
    <row r="182" spans="1:7" x14ac:dyDescent="0.25">
      <c r="A182" s="17" t="s">
        <v>310</v>
      </c>
      <c r="B182" s="4" t="s">
        <v>311</v>
      </c>
      <c r="C182" s="6" t="s">
        <v>20</v>
      </c>
      <c r="D182" s="10">
        <v>2</v>
      </c>
      <c r="E182" s="12">
        <v>320</v>
      </c>
      <c r="F182" s="18">
        <f t="shared" si="6"/>
        <v>640</v>
      </c>
    </row>
    <row r="183" spans="1:7" x14ac:dyDescent="0.25">
      <c r="A183" s="17" t="s">
        <v>312</v>
      </c>
      <c r="B183" s="4" t="s">
        <v>313</v>
      </c>
      <c r="C183" s="6" t="s">
        <v>20</v>
      </c>
      <c r="D183" s="10">
        <v>1</v>
      </c>
      <c r="E183" s="12">
        <v>260</v>
      </c>
      <c r="F183" s="18">
        <f t="shared" si="6"/>
        <v>260</v>
      </c>
    </row>
    <row r="184" spans="1:7" x14ac:dyDescent="0.25">
      <c r="A184" s="17" t="s">
        <v>314</v>
      </c>
      <c r="B184" s="4" t="s">
        <v>315</v>
      </c>
      <c r="C184" s="6" t="s">
        <v>20</v>
      </c>
      <c r="D184" s="10">
        <v>2</v>
      </c>
      <c r="E184" s="12">
        <v>350</v>
      </c>
      <c r="F184" s="18">
        <f t="shared" si="6"/>
        <v>700</v>
      </c>
    </row>
    <row r="185" spans="1:7" x14ac:dyDescent="0.25">
      <c r="A185" s="17" t="s">
        <v>316</v>
      </c>
      <c r="B185" s="4" t="s">
        <v>317</v>
      </c>
      <c r="C185" s="6" t="s">
        <v>20</v>
      </c>
      <c r="D185" s="10">
        <v>2</v>
      </c>
      <c r="E185" s="12">
        <v>430</v>
      </c>
      <c r="F185" s="18">
        <f t="shared" si="6"/>
        <v>860</v>
      </c>
    </row>
    <row r="186" spans="1:7" x14ac:dyDescent="0.25">
      <c r="A186" s="17" t="s">
        <v>318</v>
      </c>
      <c r="B186" s="4" t="s">
        <v>319</v>
      </c>
      <c r="C186" s="6" t="s">
        <v>20</v>
      </c>
      <c r="D186" s="10">
        <v>2</v>
      </c>
      <c r="E186" s="12">
        <v>180</v>
      </c>
      <c r="F186" s="18">
        <f t="shared" si="6"/>
        <v>360</v>
      </c>
    </row>
    <row r="187" spans="1:7" x14ac:dyDescent="0.25">
      <c r="A187" s="15"/>
      <c r="B187" s="4"/>
      <c r="C187" s="6"/>
      <c r="D187" s="10"/>
      <c r="E187" s="12"/>
      <c r="F187" s="18"/>
    </row>
    <row r="188" spans="1:7" s="2" customFormat="1" ht="15.75" x14ac:dyDescent="0.25">
      <c r="A188" s="16" t="s">
        <v>320</v>
      </c>
      <c r="B188" s="5" t="s">
        <v>321</v>
      </c>
      <c r="C188" s="7" t="s">
        <v>6</v>
      </c>
      <c r="D188" s="11" t="s">
        <v>6</v>
      </c>
      <c r="E188" s="13" t="s">
        <v>6</v>
      </c>
      <c r="F188" s="19">
        <v>46420</v>
      </c>
      <c r="G188" s="14"/>
    </row>
    <row r="189" spans="1:7" x14ac:dyDescent="0.25">
      <c r="A189" s="17" t="s">
        <v>322</v>
      </c>
      <c r="B189" s="4" t="s">
        <v>323</v>
      </c>
      <c r="C189" s="6" t="s">
        <v>284</v>
      </c>
      <c r="D189" s="10"/>
      <c r="E189" s="12"/>
      <c r="F189" s="18"/>
    </row>
    <row r="190" spans="1:7" x14ac:dyDescent="0.25">
      <c r="A190" s="17" t="s">
        <v>324</v>
      </c>
      <c r="B190" s="4" t="s">
        <v>325</v>
      </c>
      <c r="C190" s="6" t="s">
        <v>284</v>
      </c>
      <c r="D190" s="10"/>
      <c r="E190" s="12"/>
      <c r="F190" s="18"/>
    </row>
    <row r="191" spans="1:7" x14ac:dyDescent="0.25">
      <c r="A191" s="17" t="s">
        <v>326</v>
      </c>
      <c r="B191" s="4" t="s">
        <v>327</v>
      </c>
      <c r="C191" s="6" t="s">
        <v>284</v>
      </c>
      <c r="D191" s="10"/>
      <c r="E191" s="12"/>
      <c r="F191" s="18"/>
    </row>
    <row r="192" spans="1:7" x14ac:dyDescent="0.25">
      <c r="A192" s="17" t="s">
        <v>328</v>
      </c>
      <c r="B192" s="4" t="s">
        <v>329</v>
      </c>
      <c r="C192" s="6" t="s">
        <v>20</v>
      </c>
      <c r="D192" s="10">
        <v>7</v>
      </c>
      <c r="E192" s="12">
        <v>350</v>
      </c>
      <c r="F192" s="18">
        <f t="shared" ref="F192:F197" si="7">D192*E192</f>
        <v>2450</v>
      </c>
    </row>
    <row r="193" spans="1:7" x14ac:dyDescent="0.25">
      <c r="A193" s="17" t="s">
        <v>330</v>
      </c>
      <c r="B193" s="4" t="s">
        <v>331</v>
      </c>
      <c r="C193" s="6" t="s">
        <v>20</v>
      </c>
      <c r="D193" s="10">
        <v>13</v>
      </c>
      <c r="E193" s="12">
        <v>260</v>
      </c>
      <c r="F193" s="18">
        <f t="shared" si="7"/>
        <v>3380</v>
      </c>
    </row>
    <row r="194" spans="1:7" x14ac:dyDescent="0.25">
      <c r="A194" s="17" t="s">
        <v>332</v>
      </c>
      <c r="B194" s="4" t="s">
        <v>333</v>
      </c>
      <c r="C194" s="6" t="s">
        <v>20</v>
      </c>
      <c r="D194" s="10">
        <v>9</v>
      </c>
      <c r="E194" s="12">
        <v>290</v>
      </c>
      <c r="F194" s="18">
        <f t="shared" si="7"/>
        <v>2610</v>
      </c>
    </row>
    <row r="195" spans="1:7" x14ac:dyDescent="0.25">
      <c r="A195" s="17" t="s">
        <v>334</v>
      </c>
      <c r="B195" s="4" t="s">
        <v>335</v>
      </c>
      <c r="C195" s="6" t="s">
        <v>20</v>
      </c>
      <c r="D195" s="10">
        <v>15</v>
      </c>
      <c r="E195" s="12">
        <v>320</v>
      </c>
      <c r="F195" s="18">
        <f t="shared" si="7"/>
        <v>4800</v>
      </c>
    </row>
    <row r="196" spans="1:7" x14ac:dyDescent="0.25">
      <c r="A196" s="17" t="s">
        <v>336</v>
      </c>
      <c r="B196" s="4" t="s">
        <v>337</v>
      </c>
      <c r="C196" s="6" t="s">
        <v>20</v>
      </c>
      <c r="D196" s="10">
        <v>127</v>
      </c>
      <c r="E196" s="12">
        <v>240</v>
      </c>
      <c r="F196" s="18">
        <f t="shared" si="7"/>
        <v>30480</v>
      </c>
    </row>
    <row r="197" spans="1:7" x14ac:dyDescent="0.25">
      <c r="A197" s="17" t="s">
        <v>338</v>
      </c>
      <c r="B197" s="4" t="s">
        <v>339</v>
      </c>
      <c r="C197" s="6" t="s">
        <v>53</v>
      </c>
      <c r="D197" s="10">
        <v>30</v>
      </c>
      <c r="E197" s="12">
        <v>90</v>
      </c>
      <c r="F197" s="18">
        <f t="shared" si="7"/>
        <v>2700</v>
      </c>
    </row>
    <row r="198" spans="1:7" x14ac:dyDescent="0.25">
      <c r="A198" s="15"/>
      <c r="B198" s="4"/>
      <c r="C198" s="6"/>
      <c r="D198" s="10"/>
      <c r="E198" s="12"/>
      <c r="F198" s="18"/>
    </row>
    <row r="199" spans="1:7" s="2" customFormat="1" ht="15.75" x14ac:dyDescent="0.25">
      <c r="A199" s="16" t="s">
        <v>340</v>
      </c>
      <c r="B199" s="5" t="s">
        <v>341</v>
      </c>
      <c r="C199" s="7" t="s">
        <v>6</v>
      </c>
      <c r="D199" s="11" t="s">
        <v>6</v>
      </c>
      <c r="E199" s="13" t="s">
        <v>6</v>
      </c>
      <c r="F199" s="19">
        <v>24700</v>
      </c>
      <c r="G199" s="14"/>
    </row>
    <row r="200" spans="1:7" x14ac:dyDescent="0.25">
      <c r="A200" s="17" t="s">
        <v>342</v>
      </c>
      <c r="B200" s="4" t="s">
        <v>343</v>
      </c>
      <c r="C200" s="6" t="s">
        <v>344</v>
      </c>
      <c r="D200" s="10">
        <v>30</v>
      </c>
      <c r="E200" s="12">
        <v>170</v>
      </c>
      <c r="F200" s="18">
        <f>D200*E200</f>
        <v>5100</v>
      </c>
    </row>
    <row r="201" spans="1:7" x14ac:dyDescent="0.25">
      <c r="A201" s="17" t="s">
        <v>345</v>
      </c>
      <c r="B201" s="4" t="s">
        <v>346</v>
      </c>
      <c r="C201" s="6" t="s">
        <v>76</v>
      </c>
      <c r="D201" s="10">
        <v>1</v>
      </c>
      <c r="E201" s="12">
        <v>1400</v>
      </c>
      <c r="F201" s="18">
        <f>D201*E201</f>
        <v>1400</v>
      </c>
    </row>
    <row r="202" spans="1:7" x14ac:dyDescent="0.25">
      <c r="A202" s="17" t="s">
        <v>347</v>
      </c>
      <c r="B202" s="4" t="s">
        <v>348</v>
      </c>
      <c r="C202" s="6" t="s">
        <v>76</v>
      </c>
      <c r="D202" s="10">
        <v>1</v>
      </c>
      <c r="E202" s="12">
        <v>2000</v>
      </c>
      <c r="F202" s="18">
        <f>D202*E202</f>
        <v>2000</v>
      </c>
    </row>
    <row r="203" spans="1:7" x14ac:dyDescent="0.25">
      <c r="A203" s="17" t="s">
        <v>349</v>
      </c>
      <c r="B203" s="4" t="s">
        <v>350</v>
      </c>
      <c r="C203" s="6" t="s">
        <v>76</v>
      </c>
      <c r="D203" s="10">
        <v>1</v>
      </c>
      <c r="E203" s="12">
        <v>1200</v>
      </c>
      <c r="F203" s="18">
        <f>D203*E203</f>
        <v>1200</v>
      </c>
    </row>
    <row r="204" spans="1:7" x14ac:dyDescent="0.25">
      <c r="A204" s="17" t="s">
        <v>351</v>
      </c>
      <c r="B204" s="4" t="s">
        <v>352</v>
      </c>
      <c r="C204" s="6" t="s">
        <v>76</v>
      </c>
      <c r="D204" s="10">
        <v>15000</v>
      </c>
      <c r="E204" s="12">
        <v>1</v>
      </c>
      <c r="F204" s="18">
        <f>D204*E204</f>
        <v>15000</v>
      </c>
    </row>
    <row r="205" spans="1:7" x14ac:dyDescent="0.25">
      <c r="A205" s="15"/>
      <c r="B205" s="4"/>
      <c r="C205" s="6"/>
      <c r="D205" s="10"/>
      <c r="E205" s="12"/>
      <c r="F205" s="18"/>
    </row>
    <row r="206" spans="1:7" x14ac:dyDescent="0.25">
      <c r="A206" s="15"/>
      <c r="B206" s="4"/>
      <c r="C206" s="6"/>
      <c r="D206" s="10"/>
      <c r="E206" s="12"/>
      <c r="F206" s="18"/>
    </row>
    <row r="207" spans="1:7" s="2" customFormat="1" ht="15.75" x14ac:dyDescent="0.25">
      <c r="A207" s="16" t="s">
        <v>353</v>
      </c>
      <c r="B207" s="5" t="s">
        <v>354</v>
      </c>
      <c r="C207" s="7" t="s">
        <v>6</v>
      </c>
      <c r="D207" s="11" t="s">
        <v>6</v>
      </c>
      <c r="E207" s="13" t="s">
        <v>6</v>
      </c>
      <c r="F207" s="19">
        <v>161682</v>
      </c>
      <c r="G207" s="14"/>
    </row>
    <row r="208" spans="1:7" x14ac:dyDescent="0.25">
      <c r="A208" s="15"/>
      <c r="B208" s="4"/>
      <c r="C208" s="6"/>
      <c r="D208" s="10"/>
      <c r="E208" s="12"/>
      <c r="F208" s="18"/>
    </row>
    <row r="209" spans="1:7" s="2" customFormat="1" ht="15.75" x14ac:dyDescent="0.25">
      <c r="A209" s="16" t="s">
        <v>355</v>
      </c>
      <c r="B209" s="5" t="s">
        <v>356</v>
      </c>
      <c r="C209" s="7" t="s">
        <v>6</v>
      </c>
      <c r="D209" s="11" t="s">
        <v>6</v>
      </c>
      <c r="E209" s="13" t="s">
        <v>6</v>
      </c>
      <c r="F209" s="19">
        <v>122790</v>
      </c>
      <c r="G209" s="14"/>
    </row>
    <row r="210" spans="1:7" x14ac:dyDescent="0.25">
      <c r="A210" s="17" t="s">
        <v>357</v>
      </c>
      <c r="B210" s="4" t="s">
        <v>358</v>
      </c>
      <c r="C210" s="6" t="s">
        <v>13</v>
      </c>
      <c r="D210" s="10">
        <v>500</v>
      </c>
      <c r="E210" s="12">
        <v>200</v>
      </c>
      <c r="F210" s="18">
        <f>D210*E210</f>
        <v>100000</v>
      </c>
    </row>
    <row r="211" spans="1:7" x14ac:dyDescent="0.25">
      <c r="A211" s="17" t="s">
        <v>359</v>
      </c>
      <c r="B211" s="4" t="s">
        <v>360</v>
      </c>
      <c r="C211" s="6" t="s">
        <v>53</v>
      </c>
      <c r="D211" s="10">
        <v>450</v>
      </c>
      <c r="E211" s="12">
        <v>45</v>
      </c>
      <c r="F211" s="18">
        <f>D211*E211</f>
        <v>20250</v>
      </c>
    </row>
    <row r="212" spans="1:7" x14ac:dyDescent="0.25">
      <c r="A212" s="17" t="s">
        <v>361</v>
      </c>
      <c r="B212" s="4" t="s">
        <v>362</v>
      </c>
      <c r="C212" s="6" t="s">
        <v>53</v>
      </c>
      <c r="D212" s="10">
        <v>6</v>
      </c>
      <c r="E212" s="12">
        <v>90</v>
      </c>
      <c r="F212" s="18">
        <f>D212*E212</f>
        <v>540</v>
      </c>
    </row>
    <row r="213" spans="1:7" x14ac:dyDescent="0.25">
      <c r="A213" s="17" t="s">
        <v>363</v>
      </c>
      <c r="B213" s="4" t="s">
        <v>364</v>
      </c>
      <c r="C213" s="6" t="s">
        <v>13</v>
      </c>
      <c r="D213" s="10">
        <v>10</v>
      </c>
      <c r="E213" s="12">
        <v>200</v>
      </c>
      <c r="F213" s="18">
        <f>D213*E213</f>
        <v>2000</v>
      </c>
    </row>
    <row r="214" spans="1:7" x14ac:dyDescent="0.25">
      <c r="A214" s="15"/>
      <c r="B214" s="4"/>
      <c r="C214" s="6"/>
      <c r="D214" s="10"/>
      <c r="E214" s="12"/>
      <c r="F214" s="18"/>
    </row>
    <row r="215" spans="1:7" s="2" customFormat="1" ht="15.75" x14ac:dyDescent="0.25">
      <c r="A215" s="16" t="s">
        <v>365</v>
      </c>
      <c r="B215" s="5" t="s">
        <v>366</v>
      </c>
      <c r="C215" s="7" t="s">
        <v>6</v>
      </c>
      <c r="D215" s="11" t="s">
        <v>6</v>
      </c>
      <c r="E215" s="13" t="s">
        <v>6</v>
      </c>
      <c r="F215" s="19">
        <v>25440</v>
      </c>
      <c r="G215" s="14"/>
    </row>
    <row r="216" spans="1:7" x14ac:dyDescent="0.25">
      <c r="A216" s="17" t="s">
        <v>367</v>
      </c>
      <c r="B216" s="4" t="s">
        <v>368</v>
      </c>
      <c r="C216" s="6" t="s">
        <v>13</v>
      </c>
      <c r="D216" s="10">
        <v>40</v>
      </c>
      <c r="E216" s="12">
        <v>200</v>
      </c>
      <c r="F216" s="18">
        <f>D216*E216</f>
        <v>8000</v>
      </c>
    </row>
    <row r="217" spans="1:7" x14ac:dyDescent="0.25">
      <c r="A217" s="17" t="s">
        <v>369</v>
      </c>
      <c r="B217" s="4" t="s">
        <v>370</v>
      </c>
      <c r="C217" s="6" t="s">
        <v>20</v>
      </c>
      <c r="D217" s="10">
        <v>1</v>
      </c>
      <c r="E217" s="12">
        <v>540</v>
      </c>
      <c r="F217" s="18">
        <f>D217*E217</f>
        <v>540</v>
      </c>
    </row>
    <row r="218" spans="1:7" x14ac:dyDescent="0.25">
      <c r="A218" s="17" t="s">
        <v>371</v>
      </c>
      <c r="B218" s="4" t="s">
        <v>372</v>
      </c>
      <c r="C218" s="6" t="s">
        <v>13</v>
      </c>
      <c r="D218" s="10">
        <v>75</v>
      </c>
      <c r="E218" s="12">
        <v>180</v>
      </c>
      <c r="F218" s="18">
        <f>D218*E218</f>
        <v>13500</v>
      </c>
    </row>
    <row r="219" spans="1:7" x14ac:dyDescent="0.25">
      <c r="A219" s="17" t="s">
        <v>373</v>
      </c>
      <c r="B219" s="4" t="s">
        <v>374</v>
      </c>
      <c r="C219" s="6" t="s">
        <v>13</v>
      </c>
      <c r="D219" s="10">
        <v>10</v>
      </c>
      <c r="E219" s="12">
        <v>300</v>
      </c>
      <c r="F219" s="18">
        <f>D219*E219</f>
        <v>3000</v>
      </c>
    </row>
    <row r="220" spans="1:7" x14ac:dyDescent="0.25">
      <c r="A220" s="17" t="s">
        <v>375</v>
      </c>
      <c r="B220" s="4" t="s">
        <v>376</v>
      </c>
      <c r="C220" s="6" t="s">
        <v>13</v>
      </c>
      <c r="D220" s="10">
        <v>1</v>
      </c>
      <c r="E220" s="12">
        <v>400</v>
      </c>
      <c r="F220" s="18">
        <f>D220*E220</f>
        <v>400</v>
      </c>
    </row>
    <row r="221" spans="1:7" x14ac:dyDescent="0.25">
      <c r="A221" s="15"/>
      <c r="B221" s="4"/>
      <c r="C221" s="6"/>
      <c r="D221" s="10"/>
      <c r="E221" s="12"/>
      <c r="F221" s="18"/>
    </row>
    <row r="222" spans="1:7" s="2" customFormat="1" ht="15.75" x14ac:dyDescent="0.25">
      <c r="A222" s="16" t="s">
        <v>377</v>
      </c>
      <c r="B222" s="5" t="s">
        <v>378</v>
      </c>
      <c r="C222" s="7" t="s">
        <v>6</v>
      </c>
      <c r="D222" s="11" t="s">
        <v>6</v>
      </c>
      <c r="E222" s="13" t="s">
        <v>6</v>
      </c>
      <c r="F222" s="19">
        <v>13452</v>
      </c>
      <c r="G222" s="14"/>
    </row>
    <row r="223" spans="1:7" x14ac:dyDescent="0.25">
      <c r="A223" s="17" t="s">
        <v>379</v>
      </c>
      <c r="B223" s="4" t="s">
        <v>380</v>
      </c>
      <c r="C223" s="6" t="s">
        <v>381</v>
      </c>
      <c r="D223" s="10">
        <v>57</v>
      </c>
      <c r="E223" s="12">
        <v>236</v>
      </c>
      <c r="F223" s="18">
        <f>D223*E223</f>
        <v>13452</v>
      </c>
    </row>
    <row r="224" spans="1:7" x14ac:dyDescent="0.25">
      <c r="A224" s="15"/>
      <c r="B224" s="4"/>
      <c r="C224" s="6"/>
      <c r="D224" s="10"/>
      <c r="E224" s="12"/>
      <c r="F224" s="18"/>
    </row>
    <row r="225" spans="1:7" x14ac:dyDescent="0.25">
      <c r="A225" s="15"/>
      <c r="B225" s="4"/>
      <c r="C225" s="6"/>
      <c r="D225" s="10"/>
      <c r="E225" s="12"/>
      <c r="F225" s="18"/>
    </row>
    <row r="226" spans="1:7" s="2" customFormat="1" ht="15.75" x14ac:dyDescent="0.25">
      <c r="A226" s="16" t="s">
        <v>382</v>
      </c>
      <c r="B226" s="5" t="s">
        <v>383</v>
      </c>
      <c r="C226" s="7" t="s">
        <v>6</v>
      </c>
      <c r="D226" s="11" t="s">
        <v>6</v>
      </c>
      <c r="E226" s="13" t="s">
        <v>6</v>
      </c>
      <c r="F226" s="19">
        <v>64000</v>
      </c>
      <c r="G226" s="14"/>
    </row>
    <row r="227" spans="1:7" x14ac:dyDescent="0.25">
      <c r="A227" s="15"/>
      <c r="B227" s="4"/>
      <c r="C227" s="6"/>
      <c r="D227" s="10"/>
      <c r="E227" s="12"/>
      <c r="F227" s="18"/>
    </row>
    <row r="228" spans="1:7" s="2" customFormat="1" ht="15.75" x14ac:dyDescent="0.25">
      <c r="A228" s="16" t="s">
        <v>384</v>
      </c>
      <c r="B228" s="5" t="s">
        <v>383</v>
      </c>
      <c r="C228" s="7" t="s">
        <v>6</v>
      </c>
      <c r="D228" s="11" t="s">
        <v>6</v>
      </c>
      <c r="E228" s="13" t="s">
        <v>6</v>
      </c>
      <c r="F228" s="19">
        <v>64000</v>
      </c>
      <c r="G228" s="14"/>
    </row>
    <row r="229" spans="1:7" x14ac:dyDescent="0.25">
      <c r="A229" s="17" t="s">
        <v>385</v>
      </c>
      <c r="B229" s="4" t="s">
        <v>386</v>
      </c>
      <c r="C229" s="6" t="s">
        <v>13</v>
      </c>
      <c r="D229" s="10">
        <v>2000</v>
      </c>
      <c r="E229" s="12">
        <v>32</v>
      </c>
      <c r="F229" s="18">
        <f>D229*E229</f>
        <v>64000</v>
      </c>
    </row>
    <row r="230" spans="1:7" x14ac:dyDescent="0.25">
      <c r="A230" s="15"/>
      <c r="B230" s="4"/>
      <c r="C230" s="6"/>
      <c r="D230" s="10"/>
      <c r="E230" s="12"/>
      <c r="F230" s="18"/>
    </row>
    <row r="231" spans="1:7" x14ac:dyDescent="0.25">
      <c r="A231" s="15"/>
      <c r="B231" s="4"/>
      <c r="C231" s="6"/>
      <c r="D231" s="10"/>
      <c r="E231" s="12"/>
      <c r="F231" s="18"/>
    </row>
    <row r="232" spans="1:7" s="2" customFormat="1" ht="15.75" x14ac:dyDescent="0.25">
      <c r="A232" s="16" t="s">
        <v>387</v>
      </c>
      <c r="B232" s="5" t="s">
        <v>388</v>
      </c>
      <c r="C232" s="7" t="s">
        <v>6</v>
      </c>
      <c r="D232" s="11" t="s">
        <v>6</v>
      </c>
      <c r="E232" s="13" t="s">
        <v>6</v>
      </c>
      <c r="F232" s="19">
        <v>50910</v>
      </c>
      <c r="G232" s="14"/>
    </row>
    <row r="233" spans="1:7" x14ac:dyDescent="0.25">
      <c r="A233" s="15"/>
      <c r="B233" s="4"/>
      <c r="C233" s="6"/>
      <c r="D233" s="10"/>
      <c r="E233" s="12"/>
      <c r="F233" s="18"/>
    </row>
    <row r="234" spans="1:7" s="2" customFormat="1" ht="15.75" x14ac:dyDescent="0.25">
      <c r="A234" s="16" t="s">
        <v>389</v>
      </c>
      <c r="B234" s="5" t="s">
        <v>390</v>
      </c>
      <c r="C234" s="7" t="s">
        <v>6</v>
      </c>
      <c r="D234" s="11" t="s">
        <v>6</v>
      </c>
      <c r="E234" s="13" t="s">
        <v>6</v>
      </c>
      <c r="F234" s="19">
        <v>50910</v>
      </c>
      <c r="G234" s="14"/>
    </row>
    <row r="235" spans="1:7" x14ac:dyDescent="0.25">
      <c r="A235" s="17" t="s">
        <v>391</v>
      </c>
      <c r="B235" s="4" t="s">
        <v>392</v>
      </c>
      <c r="C235" s="6" t="s">
        <v>20</v>
      </c>
      <c r="D235" s="10">
        <v>1</v>
      </c>
      <c r="E235" s="12">
        <v>7000</v>
      </c>
      <c r="F235" s="18">
        <f t="shared" ref="F235:F240" si="8">D235*E235</f>
        <v>7000</v>
      </c>
    </row>
    <row r="236" spans="1:7" x14ac:dyDescent="0.25">
      <c r="A236" s="17" t="s">
        <v>393</v>
      </c>
      <c r="B236" s="4" t="s">
        <v>394</v>
      </c>
      <c r="C236" s="6" t="s">
        <v>20</v>
      </c>
      <c r="D236" s="10">
        <v>1</v>
      </c>
      <c r="E236" s="12">
        <v>12000</v>
      </c>
      <c r="F236" s="18">
        <f t="shared" si="8"/>
        <v>12000</v>
      </c>
    </row>
    <row r="237" spans="1:7" x14ac:dyDescent="0.25">
      <c r="A237" s="17" t="s">
        <v>395</v>
      </c>
      <c r="B237" s="4" t="s">
        <v>396</v>
      </c>
      <c r="C237" s="6" t="s">
        <v>20</v>
      </c>
      <c r="D237" s="10">
        <v>1</v>
      </c>
      <c r="E237" s="12">
        <v>12000</v>
      </c>
      <c r="F237" s="18">
        <f t="shared" si="8"/>
        <v>12000</v>
      </c>
    </row>
    <row r="238" spans="1:7" x14ac:dyDescent="0.25">
      <c r="A238" s="17" t="s">
        <v>397</v>
      </c>
      <c r="B238" s="4" t="s">
        <v>398</v>
      </c>
      <c r="C238" s="6" t="s">
        <v>20</v>
      </c>
      <c r="D238" s="10">
        <v>1</v>
      </c>
      <c r="E238" s="12">
        <v>15000</v>
      </c>
      <c r="F238" s="18">
        <f t="shared" si="8"/>
        <v>15000</v>
      </c>
    </row>
    <row r="239" spans="1:7" x14ac:dyDescent="0.25">
      <c r="A239" s="17" t="s">
        <v>399</v>
      </c>
      <c r="B239" s="4" t="s">
        <v>400</v>
      </c>
      <c r="C239" s="6" t="s">
        <v>20</v>
      </c>
      <c r="D239" s="10">
        <v>10</v>
      </c>
      <c r="E239" s="12">
        <v>316</v>
      </c>
      <c r="F239" s="18">
        <f t="shared" si="8"/>
        <v>3160</v>
      </c>
    </row>
    <row r="240" spans="1:7" x14ac:dyDescent="0.25">
      <c r="A240" s="17" t="s">
        <v>401</v>
      </c>
      <c r="B240" s="4" t="s">
        <v>402</v>
      </c>
      <c r="C240" s="6" t="s">
        <v>13</v>
      </c>
      <c r="D240" s="10">
        <v>5</v>
      </c>
      <c r="E240" s="12">
        <v>350</v>
      </c>
      <c r="F240" s="18">
        <f t="shared" si="8"/>
        <v>1750</v>
      </c>
    </row>
    <row r="241" spans="1:7" x14ac:dyDescent="0.25">
      <c r="A241" s="15"/>
      <c r="B241" s="4"/>
      <c r="C241" s="6"/>
      <c r="D241" s="10"/>
      <c r="E241" s="12"/>
      <c r="F241" s="18"/>
    </row>
    <row r="242" spans="1:7" x14ac:dyDescent="0.25">
      <c r="A242" s="15"/>
      <c r="B242" s="4"/>
      <c r="C242" s="6"/>
      <c r="D242" s="10"/>
      <c r="E242" s="12"/>
      <c r="F242" s="18"/>
    </row>
    <row r="243" spans="1:7" s="2" customFormat="1" ht="15.75" x14ac:dyDescent="0.25">
      <c r="A243" s="16" t="s">
        <v>403</v>
      </c>
      <c r="B243" s="5" t="s">
        <v>404</v>
      </c>
      <c r="C243" s="7" t="s">
        <v>6</v>
      </c>
      <c r="D243" s="11" t="s">
        <v>6</v>
      </c>
      <c r="E243" s="13" t="s">
        <v>6</v>
      </c>
      <c r="F243" s="19">
        <v>280876</v>
      </c>
      <c r="G243" s="14"/>
    </row>
    <row r="244" spans="1:7" x14ac:dyDescent="0.25">
      <c r="A244" s="15"/>
      <c r="B244" s="4"/>
      <c r="C244" s="6"/>
      <c r="D244" s="10"/>
      <c r="E244" s="12"/>
      <c r="F244" s="18"/>
    </row>
    <row r="245" spans="1:7" s="2" customFormat="1" ht="15.75" x14ac:dyDescent="0.25">
      <c r="A245" s="16" t="s">
        <v>405</v>
      </c>
      <c r="B245" s="5" t="s">
        <v>406</v>
      </c>
      <c r="C245" s="7" t="s">
        <v>6</v>
      </c>
      <c r="D245" s="11" t="s">
        <v>6</v>
      </c>
      <c r="E245" s="13" t="s">
        <v>6</v>
      </c>
      <c r="F245" s="19">
        <v>142870</v>
      </c>
      <c r="G245" s="14"/>
    </row>
    <row r="246" spans="1:7" x14ac:dyDescent="0.25">
      <c r="A246" s="17" t="s">
        <v>407</v>
      </c>
      <c r="B246" s="4" t="s">
        <v>408</v>
      </c>
      <c r="C246" s="6" t="s">
        <v>76</v>
      </c>
      <c r="D246" s="10">
        <v>11</v>
      </c>
      <c r="E246" s="12">
        <v>4970</v>
      </c>
      <c r="F246" s="18">
        <f>D246*E246</f>
        <v>54670</v>
      </c>
    </row>
    <row r="247" spans="1:7" x14ac:dyDescent="0.25">
      <c r="A247" s="17" t="s">
        <v>409</v>
      </c>
      <c r="B247" s="4" t="s">
        <v>410</v>
      </c>
      <c r="C247" s="6" t="s">
        <v>76</v>
      </c>
      <c r="D247" s="10">
        <v>9</v>
      </c>
      <c r="E247" s="12">
        <v>5400</v>
      </c>
      <c r="F247" s="18">
        <f>D247*E247</f>
        <v>48600</v>
      </c>
    </row>
    <row r="248" spans="1:7" x14ac:dyDescent="0.25">
      <c r="A248" s="17" t="s">
        <v>411</v>
      </c>
      <c r="B248" s="4" t="s">
        <v>412</v>
      </c>
      <c r="C248" s="6" t="s">
        <v>76</v>
      </c>
      <c r="D248" s="10">
        <v>4</v>
      </c>
      <c r="E248" s="12">
        <v>6140</v>
      </c>
      <c r="F248" s="18">
        <f>D248*E248</f>
        <v>24560</v>
      </c>
    </row>
    <row r="249" spans="1:7" x14ac:dyDescent="0.25">
      <c r="A249" s="17" t="s">
        <v>413</v>
      </c>
      <c r="B249" s="4" t="s">
        <v>414</v>
      </c>
      <c r="C249" s="6" t="s">
        <v>76</v>
      </c>
      <c r="D249" s="10">
        <v>2</v>
      </c>
      <c r="E249" s="12">
        <v>6900</v>
      </c>
      <c r="F249" s="18">
        <f>D249*E249</f>
        <v>13800</v>
      </c>
    </row>
    <row r="250" spans="1:7" x14ac:dyDescent="0.25">
      <c r="A250" s="17" t="s">
        <v>415</v>
      </c>
      <c r="B250" s="4" t="s">
        <v>416</v>
      </c>
      <c r="C250" s="6" t="s">
        <v>76</v>
      </c>
      <c r="D250" s="10">
        <v>2</v>
      </c>
      <c r="E250" s="12">
        <v>620</v>
      </c>
      <c r="F250" s="18">
        <f>D250*E250</f>
        <v>1240</v>
      </c>
    </row>
    <row r="251" spans="1:7" x14ac:dyDescent="0.25">
      <c r="A251" s="15"/>
      <c r="B251" s="4"/>
      <c r="C251" s="6"/>
      <c r="D251" s="10"/>
      <c r="E251" s="12"/>
      <c r="F251" s="18"/>
    </row>
    <row r="252" spans="1:7" s="2" customFormat="1" ht="15.75" x14ac:dyDescent="0.25">
      <c r="A252" s="16" t="s">
        <v>417</v>
      </c>
      <c r="B252" s="5" t="s">
        <v>418</v>
      </c>
      <c r="C252" s="7" t="s">
        <v>6</v>
      </c>
      <c r="D252" s="11" t="s">
        <v>6</v>
      </c>
      <c r="E252" s="13" t="s">
        <v>6</v>
      </c>
      <c r="F252" s="19">
        <v>6300</v>
      </c>
      <c r="G252" s="14"/>
    </row>
    <row r="253" spans="1:7" x14ac:dyDescent="0.25">
      <c r="A253" s="17" t="s">
        <v>419</v>
      </c>
      <c r="B253" s="4" t="s">
        <v>420</v>
      </c>
      <c r="C253" s="6" t="s">
        <v>20</v>
      </c>
      <c r="D253" s="10">
        <v>1</v>
      </c>
      <c r="E253" s="12">
        <v>1950</v>
      </c>
      <c r="F253" s="18">
        <f>D253*E253</f>
        <v>1950</v>
      </c>
    </row>
    <row r="254" spans="1:7" x14ac:dyDescent="0.25">
      <c r="A254" s="17" t="s">
        <v>421</v>
      </c>
      <c r="B254" s="4" t="s">
        <v>422</v>
      </c>
      <c r="C254" s="6" t="s">
        <v>20</v>
      </c>
      <c r="D254" s="10">
        <v>1</v>
      </c>
      <c r="E254" s="12">
        <v>2600</v>
      </c>
      <c r="F254" s="18">
        <f>D254*E254</f>
        <v>2600</v>
      </c>
    </row>
    <row r="255" spans="1:7" x14ac:dyDescent="0.25">
      <c r="A255" s="17" t="s">
        <v>423</v>
      </c>
      <c r="B255" s="4" t="s">
        <v>424</v>
      </c>
      <c r="C255" s="6" t="s">
        <v>20</v>
      </c>
      <c r="D255" s="10">
        <v>1</v>
      </c>
      <c r="E255" s="12">
        <v>1750</v>
      </c>
      <c r="F255" s="18">
        <f>D255*E255</f>
        <v>1750</v>
      </c>
    </row>
    <row r="256" spans="1:7" x14ac:dyDescent="0.25">
      <c r="A256" s="15"/>
      <c r="B256" s="4"/>
      <c r="C256" s="6"/>
      <c r="D256" s="10"/>
      <c r="E256" s="12"/>
      <c r="F256" s="18"/>
    </row>
    <row r="257" spans="1:7" s="2" customFormat="1" ht="15.75" x14ac:dyDescent="0.25">
      <c r="A257" s="16" t="s">
        <v>425</v>
      </c>
      <c r="B257" s="5" t="s">
        <v>426</v>
      </c>
      <c r="C257" s="7" t="s">
        <v>6</v>
      </c>
      <c r="D257" s="11" t="s">
        <v>6</v>
      </c>
      <c r="E257" s="13" t="s">
        <v>6</v>
      </c>
      <c r="F257" s="19">
        <v>15380</v>
      </c>
      <c r="G257" s="14"/>
    </row>
    <row r="258" spans="1:7" x14ac:dyDescent="0.25">
      <c r="A258" s="17" t="s">
        <v>427</v>
      </c>
      <c r="B258" s="4" t="s">
        <v>428</v>
      </c>
      <c r="C258" s="6" t="s">
        <v>53</v>
      </c>
      <c r="D258" s="10">
        <v>25</v>
      </c>
      <c r="E258" s="12">
        <v>86</v>
      </c>
      <c r="F258" s="18">
        <f t="shared" ref="F258:F263" si="9">D258*E258</f>
        <v>2150</v>
      </c>
    </row>
    <row r="259" spans="1:7" x14ac:dyDescent="0.25">
      <c r="A259" s="17" t="s">
        <v>429</v>
      </c>
      <c r="B259" s="4" t="s">
        <v>430</v>
      </c>
      <c r="C259" s="6" t="s">
        <v>53</v>
      </c>
      <c r="D259" s="10">
        <v>25</v>
      </c>
      <c r="E259" s="12">
        <v>92</v>
      </c>
      <c r="F259" s="18">
        <f t="shared" si="9"/>
        <v>2300</v>
      </c>
    </row>
    <row r="260" spans="1:7" x14ac:dyDescent="0.25">
      <c r="A260" s="17" t="s">
        <v>431</v>
      </c>
      <c r="B260" s="4" t="s">
        <v>432</v>
      </c>
      <c r="C260" s="6" t="s">
        <v>53</v>
      </c>
      <c r="D260" s="10">
        <v>10</v>
      </c>
      <c r="E260" s="12">
        <v>96</v>
      </c>
      <c r="F260" s="18">
        <f t="shared" si="9"/>
        <v>960</v>
      </c>
    </row>
    <row r="261" spans="1:7" x14ac:dyDescent="0.25">
      <c r="A261" s="17" t="s">
        <v>433</v>
      </c>
      <c r="B261" s="4" t="s">
        <v>434</v>
      </c>
      <c r="C261" s="6" t="s">
        <v>53</v>
      </c>
      <c r="D261" s="10">
        <v>10</v>
      </c>
      <c r="E261" s="12">
        <v>108</v>
      </c>
      <c r="F261" s="18">
        <f t="shared" si="9"/>
        <v>1080</v>
      </c>
    </row>
    <row r="262" spans="1:7" x14ac:dyDescent="0.25">
      <c r="A262" s="17" t="s">
        <v>435</v>
      </c>
      <c r="B262" s="4" t="s">
        <v>436</v>
      </c>
      <c r="C262" s="6" t="s">
        <v>53</v>
      </c>
      <c r="D262" s="10">
        <v>10</v>
      </c>
      <c r="E262" s="12">
        <v>121</v>
      </c>
      <c r="F262" s="18">
        <f t="shared" si="9"/>
        <v>1210</v>
      </c>
    </row>
    <row r="263" spans="1:7" x14ac:dyDescent="0.25">
      <c r="A263" s="17" t="s">
        <v>437</v>
      </c>
      <c r="B263" s="4" t="s">
        <v>438</v>
      </c>
      <c r="C263" s="6" t="s">
        <v>53</v>
      </c>
      <c r="D263" s="10">
        <v>40</v>
      </c>
      <c r="E263" s="12">
        <v>192</v>
      </c>
      <c r="F263" s="18">
        <f t="shared" si="9"/>
        <v>7680</v>
      </c>
    </row>
    <row r="264" spans="1:7" x14ac:dyDescent="0.25">
      <c r="A264" s="15"/>
      <c r="B264" s="4"/>
      <c r="C264" s="6"/>
      <c r="D264" s="10"/>
      <c r="E264" s="12"/>
      <c r="F264" s="18"/>
    </row>
    <row r="265" spans="1:7" s="2" customFormat="1" ht="15.75" x14ac:dyDescent="0.25">
      <c r="A265" s="16" t="s">
        <v>439</v>
      </c>
      <c r="B265" s="5" t="s">
        <v>440</v>
      </c>
      <c r="C265" s="7" t="s">
        <v>6</v>
      </c>
      <c r="D265" s="11" t="s">
        <v>6</v>
      </c>
      <c r="E265" s="13" t="s">
        <v>6</v>
      </c>
      <c r="F265" s="19">
        <v>50400</v>
      </c>
      <c r="G265" s="14"/>
    </row>
    <row r="266" spans="1:7" x14ac:dyDescent="0.25">
      <c r="A266" s="17" t="s">
        <v>441</v>
      </c>
      <c r="B266" s="4" t="s">
        <v>442</v>
      </c>
      <c r="C266" s="6" t="s">
        <v>13</v>
      </c>
      <c r="D266" s="10">
        <v>200</v>
      </c>
      <c r="E266" s="12">
        <v>125</v>
      </c>
      <c r="F266" s="18">
        <f>D266*E266</f>
        <v>25000</v>
      </c>
    </row>
    <row r="267" spans="1:7" x14ac:dyDescent="0.25">
      <c r="A267" s="17" t="s">
        <v>443</v>
      </c>
      <c r="B267" s="4" t="s">
        <v>444</v>
      </c>
      <c r="C267" s="6" t="s">
        <v>13</v>
      </c>
      <c r="D267" s="10">
        <v>10</v>
      </c>
      <c r="E267" s="12">
        <v>135</v>
      </c>
      <c r="F267" s="18">
        <f>D267*E267</f>
        <v>1350</v>
      </c>
    </row>
    <row r="268" spans="1:7" x14ac:dyDescent="0.25">
      <c r="A268" s="17" t="s">
        <v>445</v>
      </c>
      <c r="B268" s="4" t="s">
        <v>446</v>
      </c>
      <c r="C268" s="6" t="s">
        <v>13</v>
      </c>
      <c r="D268" s="10">
        <v>5</v>
      </c>
      <c r="E268" s="12">
        <v>185</v>
      </c>
      <c r="F268" s="18">
        <f>D268*E268</f>
        <v>925</v>
      </c>
    </row>
    <row r="269" spans="1:7" x14ac:dyDescent="0.25">
      <c r="A269" s="17" t="s">
        <v>447</v>
      </c>
      <c r="B269" s="4" t="s">
        <v>448</v>
      </c>
      <c r="C269" s="6" t="s">
        <v>13</v>
      </c>
      <c r="D269" s="10">
        <v>140</v>
      </c>
      <c r="E269" s="12">
        <v>125</v>
      </c>
      <c r="F269" s="18">
        <f>D269*E269</f>
        <v>17500</v>
      </c>
    </row>
    <row r="270" spans="1:7" x14ac:dyDescent="0.25">
      <c r="A270" s="17" t="s">
        <v>449</v>
      </c>
      <c r="B270" s="4" t="s">
        <v>450</v>
      </c>
      <c r="C270" s="6" t="s">
        <v>13</v>
      </c>
      <c r="D270" s="10">
        <v>45</v>
      </c>
      <c r="E270" s="12">
        <v>125</v>
      </c>
      <c r="F270" s="18">
        <f>D270*E270</f>
        <v>5625</v>
      </c>
    </row>
    <row r="271" spans="1:7" x14ac:dyDescent="0.25">
      <c r="A271" s="15"/>
      <c r="B271" s="4"/>
      <c r="C271" s="6"/>
      <c r="D271" s="10"/>
      <c r="E271" s="12"/>
      <c r="F271" s="18"/>
    </row>
    <row r="272" spans="1:7" s="2" customFormat="1" ht="15.75" x14ac:dyDescent="0.25">
      <c r="A272" s="16" t="s">
        <v>451</v>
      </c>
      <c r="B272" s="5" t="s">
        <v>452</v>
      </c>
      <c r="C272" s="7" t="s">
        <v>6</v>
      </c>
      <c r="D272" s="11" t="s">
        <v>6</v>
      </c>
      <c r="E272" s="13" t="s">
        <v>6</v>
      </c>
      <c r="F272" s="19">
        <v>23584</v>
      </c>
      <c r="G272" s="14"/>
    </row>
    <row r="273" spans="1:7" x14ac:dyDescent="0.25">
      <c r="A273" s="17" t="s">
        <v>453</v>
      </c>
      <c r="B273" s="4" t="s">
        <v>454</v>
      </c>
      <c r="C273" s="6" t="s">
        <v>20</v>
      </c>
      <c r="D273" s="10">
        <v>6</v>
      </c>
      <c r="E273" s="12">
        <v>68</v>
      </c>
      <c r="F273" s="18">
        <f t="shared" ref="F273:F286" si="10">D273*E273</f>
        <v>408</v>
      </c>
    </row>
    <row r="274" spans="1:7" x14ac:dyDescent="0.25">
      <c r="A274" s="17" t="s">
        <v>455</v>
      </c>
      <c r="B274" s="4" t="s">
        <v>456</v>
      </c>
      <c r="C274" s="6" t="s">
        <v>20</v>
      </c>
      <c r="D274" s="10">
        <v>1</v>
      </c>
      <c r="E274" s="12">
        <v>126</v>
      </c>
      <c r="F274" s="18">
        <f t="shared" si="10"/>
        <v>126</v>
      </c>
    </row>
    <row r="275" spans="1:7" x14ac:dyDescent="0.25">
      <c r="A275" s="17" t="s">
        <v>457</v>
      </c>
      <c r="B275" s="4" t="s">
        <v>458</v>
      </c>
      <c r="C275" s="6" t="s">
        <v>53</v>
      </c>
      <c r="D275" s="10">
        <v>10</v>
      </c>
      <c r="E275" s="12">
        <v>61</v>
      </c>
      <c r="F275" s="18">
        <f t="shared" si="10"/>
        <v>610</v>
      </c>
    </row>
    <row r="276" spans="1:7" x14ac:dyDescent="0.25">
      <c r="A276" s="17" t="s">
        <v>459</v>
      </c>
      <c r="B276" s="4" t="s">
        <v>460</v>
      </c>
      <c r="C276" s="6" t="s">
        <v>53</v>
      </c>
      <c r="D276" s="10">
        <v>40</v>
      </c>
      <c r="E276" s="12">
        <v>66</v>
      </c>
      <c r="F276" s="18">
        <f t="shared" si="10"/>
        <v>2640</v>
      </c>
    </row>
    <row r="277" spans="1:7" x14ac:dyDescent="0.25">
      <c r="A277" s="17" t="s">
        <v>461</v>
      </c>
      <c r="B277" s="4" t="s">
        <v>462</v>
      </c>
      <c r="C277" s="6" t="s">
        <v>53</v>
      </c>
      <c r="D277" s="10">
        <v>25</v>
      </c>
      <c r="E277" s="12">
        <v>56</v>
      </c>
      <c r="F277" s="18">
        <f t="shared" si="10"/>
        <v>1400</v>
      </c>
    </row>
    <row r="278" spans="1:7" x14ac:dyDescent="0.25">
      <c r="A278" s="17" t="s">
        <v>463</v>
      </c>
      <c r="B278" s="4" t="s">
        <v>464</v>
      </c>
      <c r="C278" s="6" t="s">
        <v>53</v>
      </c>
      <c r="D278" s="10">
        <v>25</v>
      </c>
      <c r="E278" s="12">
        <v>64</v>
      </c>
      <c r="F278" s="18">
        <f t="shared" si="10"/>
        <v>1600</v>
      </c>
    </row>
    <row r="279" spans="1:7" x14ac:dyDescent="0.25">
      <c r="A279" s="17" t="s">
        <v>465</v>
      </c>
      <c r="B279" s="4" t="s">
        <v>466</v>
      </c>
      <c r="C279" s="6" t="s">
        <v>53</v>
      </c>
      <c r="D279" s="10">
        <v>10</v>
      </c>
      <c r="E279" s="12">
        <v>69</v>
      </c>
      <c r="F279" s="18">
        <f t="shared" si="10"/>
        <v>690</v>
      </c>
    </row>
    <row r="280" spans="1:7" x14ac:dyDescent="0.25">
      <c r="A280" s="17" t="s">
        <v>467</v>
      </c>
      <c r="B280" s="4" t="s">
        <v>468</v>
      </c>
      <c r="C280" s="6" t="s">
        <v>53</v>
      </c>
      <c r="D280" s="10">
        <v>10</v>
      </c>
      <c r="E280" s="12">
        <v>74</v>
      </c>
      <c r="F280" s="18">
        <f t="shared" si="10"/>
        <v>740</v>
      </c>
    </row>
    <row r="281" spans="1:7" x14ac:dyDescent="0.25">
      <c r="A281" s="17" t="s">
        <v>469</v>
      </c>
      <c r="B281" s="4" t="s">
        <v>470</v>
      </c>
      <c r="C281" s="6" t="s">
        <v>53</v>
      </c>
      <c r="D281" s="10">
        <v>10</v>
      </c>
      <c r="E281" s="12">
        <v>88</v>
      </c>
      <c r="F281" s="18">
        <f t="shared" si="10"/>
        <v>880</v>
      </c>
    </row>
    <row r="282" spans="1:7" x14ac:dyDescent="0.25">
      <c r="A282" s="17" t="s">
        <v>471</v>
      </c>
      <c r="B282" s="4" t="s">
        <v>472</v>
      </c>
      <c r="C282" s="6" t="s">
        <v>53</v>
      </c>
      <c r="D282" s="10">
        <v>40</v>
      </c>
      <c r="E282" s="12">
        <v>103</v>
      </c>
      <c r="F282" s="18">
        <f t="shared" si="10"/>
        <v>4120</v>
      </c>
    </row>
    <row r="283" spans="1:7" x14ac:dyDescent="0.25">
      <c r="A283" s="17" t="s">
        <v>473</v>
      </c>
      <c r="B283" s="4" t="s">
        <v>474</v>
      </c>
      <c r="C283" s="6" t="s">
        <v>20</v>
      </c>
      <c r="D283" s="10">
        <v>1</v>
      </c>
      <c r="E283" s="12">
        <v>860</v>
      </c>
      <c r="F283" s="18">
        <f t="shared" si="10"/>
        <v>860</v>
      </c>
    </row>
    <row r="284" spans="1:7" x14ac:dyDescent="0.25">
      <c r="A284" s="17" t="s">
        <v>475</v>
      </c>
      <c r="B284" s="4" t="s">
        <v>476</v>
      </c>
      <c r="C284" s="6" t="s">
        <v>76</v>
      </c>
      <c r="D284" s="10">
        <v>6</v>
      </c>
      <c r="E284" s="12">
        <v>340</v>
      </c>
      <c r="F284" s="18">
        <f t="shared" si="10"/>
        <v>2040</v>
      </c>
    </row>
    <row r="285" spans="1:7" x14ac:dyDescent="0.25">
      <c r="A285" s="17" t="s">
        <v>477</v>
      </c>
      <c r="B285" s="4" t="s">
        <v>478</v>
      </c>
      <c r="C285" s="6" t="s">
        <v>479</v>
      </c>
      <c r="D285" s="10">
        <v>3</v>
      </c>
      <c r="E285" s="12">
        <v>210</v>
      </c>
      <c r="F285" s="18">
        <f t="shared" si="10"/>
        <v>630</v>
      </c>
    </row>
    <row r="286" spans="1:7" x14ac:dyDescent="0.25">
      <c r="A286" s="17" t="s">
        <v>480</v>
      </c>
      <c r="B286" s="4" t="s">
        <v>481</v>
      </c>
      <c r="C286" s="6" t="s">
        <v>13</v>
      </c>
      <c r="D286" s="10">
        <v>120</v>
      </c>
      <c r="E286" s="12">
        <v>57</v>
      </c>
      <c r="F286" s="18">
        <f t="shared" si="10"/>
        <v>6840</v>
      </c>
    </row>
    <row r="287" spans="1:7" x14ac:dyDescent="0.25">
      <c r="A287" s="15"/>
      <c r="B287" s="4"/>
      <c r="C287" s="6"/>
      <c r="D287" s="10"/>
      <c r="E287" s="12"/>
      <c r="F287" s="18"/>
    </row>
    <row r="288" spans="1:7" s="2" customFormat="1" ht="15.75" x14ac:dyDescent="0.25">
      <c r="A288" s="16" t="s">
        <v>482</v>
      </c>
      <c r="B288" s="5" t="s">
        <v>483</v>
      </c>
      <c r="C288" s="7" t="s">
        <v>6</v>
      </c>
      <c r="D288" s="11" t="s">
        <v>6</v>
      </c>
      <c r="E288" s="13" t="s">
        <v>6</v>
      </c>
      <c r="F288" s="19">
        <v>710</v>
      </c>
      <c r="G288" s="14"/>
    </row>
    <row r="289" spans="1:7" x14ac:dyDescent="0.25">
      <c r="A289" s="17" t="s">
        <v>484</v>
      </c>
      <c r="B289" s="4" t="s">
        <v>485</v>
      </c>
      <c r="C289" s="6" t="s">
        <v>53</v>
      </c>
      <c r="D289" s="10">
        <v>5</v>
      </c>
      <c r="E289" s="12">
        <v>67</v>
      </c>
      <c r="F289" s="18">
        <f>D289*E289</f>
        <v>335</v>
      </c>
    </row>
    <row r="290" spans="1:7" x14ac:dyDescent="0.25">
      <c r="A290" s="17" t="s">
        <v>486</v>
      </c>
      <c r="B290" s="4" t="s">
        <v>487</v>
      </c>
      <c r="C290" s="6" t="s">
        <v>53</v>
      </c>
      <c r="D290" s="10">
        <v>5</v>
      </c>
      <c r="E290" s="12">
        <v>75</v>
      </c>
      <c r="F290" s="18">
        <f>D290*E290</f>
        <v>375</v>
      </c>
    </row>
    <row r="291" spans="1:7" x14ac:dyDescent="0.25">
      <c r="A291" s="15"/>
      <c r="B291" s="4"/>
      <c r="C291" s="6"/>
      <c r="D291" s="10"/>
      <c r="E291" s="12"/>
      <c r="F291" s="18"/>
    </row>
    <row r="292" spans="1:7" s="2" customFormat="1" ht="15.75" x14ac:dyDescent="0.25">
      <c r="A292" s="16" t="s">
        <v>488</v>
      </c>
      <c r="B292" s="5" t="s">
        <v>489</v>
      </c>
      <c r="C292" s="7" t="s">
        <v>6</v>
      </c>
      <c r="D292" s="11" t="s">
        <v>6</v>
      </c>
      <c r="E292" s="13" t="s">
        <v>6</v>
      </c>
      <c r="F292" s="19">
        <v>41632</v>
      </c>
      <c r="G292" s="14"/>
    </row>
    <row r="293" spans="1:7" x14ac:dyDescent="0.25">
      <c r="A293" s="17" t="s">
        <v>490</v>
      </c>
      <c r="B293" s="4" t="s">
        <v>491</v>
      </c>
      <c r="C293" s="6" t="s">
        <v>20</v>
      </c>
      <c r="D293" s="10">
        <v>1</v>
      </c>
      <c r="E293" s="12">
        <v>232</v>
      </c>
      <c r="F293" s="18">
        <f>D293*E293</f>
        <v>232</v>
      </c>
    </row>
    <row r="294" spans="1:7" x14ac:dyDescent="0.25">
      <c r="A294" s="17" t="s">
        <v>492</v>
      </c>
      <c r="B294" s="4" t="s">
        <v>493</v>
      </c>
      <c r="C294" s="6" t="s">
        <v>13</v>
      </c>
      <c r="D294" s="10">
        <v>9</v>
      </c>
      <c r="E294" s="12">
        <v>2100</v>
      </c>
      <c r="F294" s="18">
        <f>D294*E294</f>
        <v>18900</v>
      </c>
    </row>
    <row r="295" spans="1:7" x14ac:dyDescent="0.25">
      <c r="A295" s="17" t="s">
        <v>494</v>
      </c>
      <c r="B295" s="4" t="s">
        <v>495</v>
      </c>
      <c r="C295" s="6" t="s">
        <v>20</v>
      </c>
      <c r="D295" s="10">
        <v>1</v>
      </c>
      <c r="E295" s="12">
        <v>250</v>
      </c>
      <c r="F295" s="18">
        <f>D295*E295</f>
        <v>250</v>
      </c>
    </row>
    <row r="296" spans="1:7" x14ac:dyDescent="0.25">
      <c r="A296" s="17" t="s">
        <v>496</v>
      </c>
      <c r="B296" s="4" t="s">
        <v>497</v>
      </c>
      <c r="C296" s="6" t="s">
        <v>13</v>
      </c>
      <c r="D296" s="10">
        <v>10</v>
      </c>
      <c r="E296" s="12">
        <v>1400</v>
      </c>
      <c r="F296" s="18">
        <f>D296*E296</f>
        <v>14000</v>
      </c>
    </row>
    <row r="297" spans="1:7" x14ac:dyDescent="0.25">
      <c r="A297" s="17" t="s">
        <v>498</v>
      </c>
      <c r="B297" s="4" t="s">
        <v>499</v>
      </c>
      <c r="C297" s="6" t="s">
        <v>20</v>
      </c>
      <c r="D297" s="10">
        <v>25</v>
      </c>
      <c r="E297" s="12">
        <v>330</v>
      </c>
      <c r="F297" s="18">
        <f>D297*E297</f>
        <v>8250</v>
      </c>
    </row>
    <row r="298" spans="1:7" x14ac:dyDescent="0.25">
      <c r="A298" s="15"/>
      <c r="B298" s="4"/>
      <c r="C298" s="6"/>
      <c r="D298" s="10"/>
      <c r="E298" s="12"/>
      <c r="F298" s="18"/>
    </row>
    <row r="299" spans="1:7" x14ac:dyDescent="0.25">
      <c r="A299" s="15"/>
      <c r="B299" s="4"/>
      <c r="C299" s="6"/>
      <c r="D299" s="10"/>
      <c r="E299" s="12"/>
      <c r="F299" s="18"/>
    </row>
    <row r="300" spans="1:7" s="2" customFormat="1" ht="15.75" x14ac:dyDescent="0.25">
      <c r="A300" s="16" t="s">
        <v>500</v>
      </c>
      <c r="B300" s="5" t="s">
        <v>501</v>
      </c>
      <c r="C300" s="7" t="s">
        <v>6</v>
      </c>
      <c r="D300" s="11" t="s">
        <v>6</v>
      </c>
      <c r="E300" s="13" t="s">
        <v>6</v>
      </c>
      <c r="F300" s="19">
        <v>649820</v>
      </c>
      <c r="G300" s="14"/>
    </row>
    <row r="301" spans="1:7" x14ac:dyDescent="0.25">
      <c r="A301" s="15"/>
      <c r="B301" s="4"/>
      <c r="C301" s="6"/>
      <c r="D301" s="10"/>
      <c r="E301" s="12"/>
      <c r="F301" s="18"/>
    </row>
    <row r="302" spans="1:7" s="2" customFormat="1" ht="15.75" x14ac:dyDescent="0.25">
      <c r="A302" s="16" t="s">
        <v>502</v>
      </c>
      <c r="B302" s="5" t="s">
        <v>503</v>
      </c>
      <c r="C302" s="7" t="s">
        <v>6</v>
      </c>
      <c r="D302" s="11" t="s">
        <v>6</v>
      </c>
      <c r="E302" s="13" t="s">
        <v>6</v>
      </c>
      <c r="F302" s="19">
        <v>499200</v>
      </c>
      <c r="G302" s="14"/>
    </row>
    <row r="303" spans="1:7" x14ac:dyDescent="0.25">
      <c r="A303" s="17" t="s">
        <v>504</v>
      </c>
      <c r="B303" s="4" t="s">
        <v>505</v>
      </c>
      <c r="C303" s="6" t="s">
        <v>13</v>
      </c>
      <c r="D303" s="10">
        <v>1050</v>
      </c>
      <c r="E303" s="12">
        <v>300</v>
      </c>
      <c r="F303" s="18">
        <f t="shared" ref="F303:F309" si="11">D303*E303</f>
        <v>315000</v>
      </c>
    </row>
    <row r="304" spans="1:7" x14ac:dyDescent="0.25">
      <c r="A304" s="17" t="s">
        <v>506</v>
      </c>
      <c r="B304" s="4" t="s">
        <v>507</v>
      </c>
      <c r="C304" s="6" t="s">
        <v>13</v>
      </c>
      <c r="D304" s="10">
        <v>745</v>
      </c>
      <c r="E304" s="12">
        <v>140</v>
      </c>
      <c r="F304" s="18">
        <f t="shared" si="11"/>
        <v>104300</v>
      </c>
    </row>
    <row r="305" spans="1:7" x14ac:dyDescent="0.25">
      <c r="A305" s="17" t="s">
        <v>508</v>
      </c>
      <c r="B305" s="4" t="s">
        <v>509</v>
      </c>
      <c r="C305" s="6" t="s">
        <v>20</v>
      </c>
      <c r="D305" s="10">
        <v>25</v>
      </c>
      <c r="E305" s="12">
        <v>450</v>
      </c>
      <c r="F305" s="18">
        <f t="shared" si="11"/>
        <v>11250</v>
      </c>
    </row>
    <row r="306" spans="1:7" x14ac:dyDescent="0.25">
      <c r="A306" s="17" t="s">
        <v>510</v>
      </c>
      <c r="B306" s="4" t="s">
        <v>511</v>
      </c>
      <c r="C306" s="6" t="s">
        <v>76</v>
      </c>
      <c r="D306" s="10">
        <v>30</v>
      </c>
      <c r="E306" s="12">
        <v>450</v>
      </c>
      <c r="F306" s="18">
        <f t="shared" si="11"/>
        <v>13500</v>
      </c>
    </row>
    <row r="307" spans="1:7" x14ac:dyDescent="0.25">
      <c r="A307" s="17" t="s">
        <v>512</v>
      </c>
      <c r="B307" s="4" t="s">
        <v>513</v>
      </c>
      <c r="C307" s="6" t="s">
        <v>13</v>
      </c>
      <c r="D307" s="10">
        <v>30</v>
      </c>
      <c r="E307" s="12">
        <v>315</v>
      </c>
      <c r="F307" s="18">
        <f t="shared" si="11"/>
        <v>9450</v>
      </c>
    </row>
    <row r="308" spans="1:7" x14ac:dyDescent="0.25">
      <c r="A308" s="17" t="s">
        <v>514</v>
      </c>
      <c r="B308" s="4" t="s">
        <v>515</v>
      </c>
      <c r="C308" s="6" t="s">
        <v>13</v>
      </c>
      <c r="D308" s="10">
        <v>130</v>
      </c>
      <c r="E308" s="12">
        <v>340</v>
      </c>
      <c r="F308" s="18">
        <f t="shared" si="11"/>
        <v>44200</v>
      </c>
    </row>
    <row r="309" spans="1:7" x14ac:dyDescent="0.25">
      <c r="A309" s="17" t="s">
        <v>516</v>
      </c>
      <c r="B309" s="4" t="s">
        <v>517</v>
      </c>
      <c r="C309" s="6" t="s">
        <v>13</v>
      </c>
      <c r="D309" s="10">
        <v>100</v>
      </c>
      <c r="E309" s="12">
        <v>15</v>
      </c>
      <c r="F309" s="18">
        <f t="shared" si="11"/>
        <v>1500</v>
      </c>
    </row>
    <row r="310" spans="1:7" x14ac:dyDescent="0.25">
      <c r="A310" s="15"/>
      <c r="B310" s="4"/>
      <c r="C310" s="6"/>
      <c r="D310" s="10"/>
      <c r="E310" s="12"/>
      <c r="F310" s="18"/>
    </row>
    <row r="311" spans="1:7" s="2" customFormat="1" ht="15.75" x14ac:dyDescent="0.25">
      <c r="A311" s="16" t="s">
        <v>518</v>
      </c>
      <c r="B311" s="5" t="s">
        <v>519</v>
      </c>
      <c r="C311" s="7" t="s">
        <v>6</v>
      </c>
      <c r="D311" s="11" t="s">
        <v>6</v>
      </c>
      <c r="E311" s="13" t="s">
        <v>6</v>
      </c>
      <c r="F311" s="19">
        <v>150620</v>
      </c>
      <c r="G311" s="14"/>
    </row>
    <row r="312" spans="1:7" x14ac:dyDescent="0.25">
      <c r="A312" s="17" t="s">
        <v>520</v>
      </c>
      <c r="B312" s="4" t="s">
        <v>521</v>
      </c>
      <c r="C312" s="6" t="s">
        <v>13</v>
      </c>
      <c r="D312" s="10">
        <v>220</v>
      </c>
      <c r="E312" s="12">
        <v>216</v>
      </c>
      <c r="F312" s="18">
        <f>D312*E312</f>
        <v>47520</v>
      </c>
    </row>
    <row r="313" spans="1:7" x14ac:dyDescent="0.25">
      <c r="A313" s="17" t="s">
        <v>522</v>
      </c>
      <c r="B313" s="4" t="s">
        <v>523</v>
      </c>
      <c r="C313" s="6" t="s">
        <v>13</v>
      </c>
      <c r="D313" s="10">
        <v>260</v>
      </c>
      <c r="E313" s="12">
        <v>200</v>
      </c>
      <c r="F313" s="18">
        <f>D313*E313</f>
        <v>52000</v>
      </c>
    </row>
    <row r="314" spans="1:7" x14ac:dyDescent="0.25">
      <c r="A314" s="17" t="s">
        <v>524</v>
      </c>
      <c r="B314" s="4" t="s">
        <v>525</v>
      </c>
      <c r="C314" s="6" t="s">
        <v>53</v>
      </c>
      <c r="D314" s="10">
        <v>150</v>
      </c>
      <c r="E314" s="12">
        <v>234</v>
      </c>
      <c r="F314" s="18">
        <f>D314*E314</f>
        <v>35100</v>
      </c>
    </row>
    <row r="315" spans="1:7" x14ac:dyDescent="0.25">
      <c r="A315" s="17" t="s">
        <v>526</v>
      </c>
      <c r="B315" s="4" t="s">
        <v>527</v>
      </c>
      <c r="C315" s="6" t="s">
        <v>53</v>
      </c>
      <c r="D315" s="10">
        <v>40</v>
      </c>
      <c r="E315" s="12">
        <v>225</v>
      </c>
      <c r="F315" s="18">
        <f>D315*E315</f>
        <v>9000</v>
      </c>
    </row>
    <row r="316" spans="1:7" x14ac:dyDescent="0.25">
      <c r="A316" s="17" t="s">
        <v>528</v>
      </c>
      <c r="B316" s="4" t="s">
        <v>529</v>
      </c>
      <c r="C316" s="6" t="s">
        <v>13</v>
      </c>
      <c r="D316" s="10">
        <v>35</v>
      </c>
      <c r="E316" s="12">
        <v>200</v>
      </c>
      <c r="F316" s="18">
        <f>D316*E316</f>
        <v>7000</v>
      </c>
    </row>
    <row r="317" spans="1:7" x14ac:dyDescent="0.25">
      <c r="A317" s="15"/>
      <c r="B317" s="4"/>
      <c r="C317" s="6"/>
      <c r="D317" s="10"/>
      <c r="E317" s="12"/>
      <c r="F317" s="18"/>
    </row>
    <row r="318" spans="1:7" x14ac:dyDescent="0.25">
      <c r="A318" s="15"/>
      <c r="B318" s="4"/>
      <c r="C318" s="6"/>
      <c r="D318" s="10"/>
      <c r="E318" s="12"/>
      <c r="F318" s="18"/>
    </row>
    <row r="319" spans="1:7" s="2" customFormat="1" ht="15.75" x14ac:dyDescent="0.25">
      <c r="A319" s="16" t="s">
        <v>530</v>
      </c>
      <c r="B319" s="5" t="s">
        <v>531</v>
      </c>
      <c r="C319" s="7" t="s">
        <v>6</v>
      </c>
      <c r="D319" s="11" t="s">
        <v>6</v>
      </c>
      <c r="E319" s="13" t="s">
        <v>6</v>
      </c>
      <c r="F319" s="19">
        <v>5000</v>
      </c>
      <c r="G319" s="14"/>
    </row>
    <row r="320" spans="1:7" x14ac:dyDescent="0.25">
      <c r="A320" s="15"/>
      <c r="B320" s="4"/>
      <c r="C320" s="6"/>
      <c r="D320" s="10"/>
      <c r="E320" s="12"/>
      <c r="F320" s="18"/>
    </row>
    <row r="321" spans="1:7" s="2" customFormat="1" ht="15.75" x14ac:dyDescent="0.25">
      <c r="A321" s="16" t="s">
        <v>532</v>
      </c>
      <c r="B321" s="5" t="s">
        <v>533</v>
      </c>
      <c r="C321" s="7" t="s">
        <v>6</v>
      </c>
      <c r="D321" s="11" t="s">
        <v>6</v>
      </c>
      <c r="E321" s="13" t="s">
        <v>6</v>
      </c>
      <c r="F321" s="19">
        <v>5000</v>
      </c>
      <c r="G321" s="14"/>
    </row>
    <row r="322" spans="1:7" x14ac:dyDescent="0.25">
      <c r="A322" s="17" t="s">
        <v>534</v>
      </c>
      <c r="B322" s="4" t="s">
        <v>535</v>
      </c>
      <c r="C322" s="6" t="s">
        <v>76</v>
      </c>
      <c r="D322" s="10">
        <v>1</v>
      </c>
      <c r="E322" s="12">
        <v>5000</v>
      </c>
      <c r="F322" s="18">
        <f>D322*E322</f>
        <v>5000</v>
      </c>
    </row>
    <row r="323" spans="1:7" x14ac:dyDescent="0.25">
      <c r="A323" s="15"/>
      <c r="B323" s="4"/>
      <c r="C323" s="6"/>
      <c r="D323" s="10"/>
      <c r="E323" s="12"/>
      <c r="F323" s="18"/>
    </row>
    <row r="324" spans="1:7" x14ac:dyDescent="0.25">
      <c r="A324" s="15"/>
      <c r="B324" s="4"/>
      <c r="C324" s="6"/>
      <c r="D324" s="10"/>
      <c r="E324" s="12"/>
      <c r="F324" s="18"/>
    </row>
    <row r="325" spans="1:7" s="2" customFormat="1" ht="15.75" x14ac:dyDescent="0.25">
      <c r="A325" s="16" t="s">
        <v>536</v>
      </c>
      <c r="B325" s="5" t="s">
        <v>537</v>
      </c>
      <c r="C325" s="7" t="s">
        <v>6</v>
      </c>
      <c r="D325" s="11" t="s">
        <v>6</v>
      </c>
      <c r="E325" s="13" t="s">
        <v>6</v>
      </c>
      <c r="F325" s="19">
        <v>39500</v>
      </c>
      <c r="G325" s="14"/>
    </row>
    <row r="326" spans="1:7" x14ac:dyDescent="0.25">
      <c r="A326" s="15"/>
      <c r="B326" s="4"/>
      <c r="C326" s="6"/>
      <c r="D326" s="10"/>
      <c r="E326" s="12"/>
      <c r="F326" s="18"/>
    </row>
    <row r="327" spans="1:7" s="2" customFormat="1" ht="15.75" x14ac:dyDescent="0.25">
      <c r="A327" s="16" t="s">
        <v>538</v>
      </c>
      <c r="B327" s="5" t="s">
        <v>539</v>
      </c>
      <c r="C327" s="7" t="s">
        <v>6</v>
      </c>
      <c r="D327" s="11" t="s">
        <v>6</v>
      </c>
      <c r="E327" s="13" t="s">
        <v>6</v>
      </c>
      <c r="F327" s="19">
        <v>39500</v>
      </c>
      <c r="G327" s="14"/>
    </row>
    <row r="328" spans="1:7" x14ac:dyDescent="0.25">
      <c r="A328" s="17" t="s">
        <v>540</v>
      </c>
      <c r="B328" s="4" t="s">
        <v>541</v>
      </c>
      <c r="C328" s="6" t="s">
        <v>76</v>
      </c>
      <c r="D328" s="10">
        <v>1</v>
      </c>
      <c r="E328" s="12">
        <v>2500</v>
      </c>
      <c r="F328" s="18">
        <f>D328*E328</f>
        <v>2500</v>
      </c>
    </row>
    <row r="329" spans="1:7" x14ac:dyDescent="0.25">
      <c r="A329" s="17" t="s">
        <v>542</v>
      </c>
      <c r="B329" s="4" t="s">
        <v>543</v>
      </c>
      <c r="C329" s="6" t="s">
        <v>76</v>
      </c>
      <c r="D329" s="10">
        <v>1</v>
      </c>
      <c r="E329" s="12">
        <v>20000</v>
      </c>
      <c r="F329" s="18">
        <f>D329*E329</f>
        <v>20000</v>
      </c>
    </row>
    <row r="330" spans="1:7" x14ac:dyDescent="0.25">
      <c r="A330" s="17" t="s">
        <v>544</v>
      </c>
      <c r="B330" s="4" t="s">
        <v>545</v>
      </c>
      <c r="C330" s="6" t="s">
        <v>76</v>
      </c>
      <c r="D330" s="10">
        <v>1</v>
      </c>
      <c r="E330" s="12">
        <v>17000</v>
      </c>
      <c r="F330" s="18">
        <f>D330*E330</f>
        <v>17000</v>
      </c>
    </row>
    <row r="331" spans="1:7" ht="15.75" x14ac:dyDescent="0.25">
      <c r="A331" s="15"/>
      <c r="B331" s="4"/>
      <c r="C331" s="6"/>
      <c r="D331" s="10"/>
      <c r="E331" s="12"/>
      <c r="F331" s="25">
        <v>2038643.8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מאוחד_השוואה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Rony Gozes</cp:lastModifiedBy>
  <dcterms:modified xsi:type="dcterms:W3CDTF">2026-04-01T09:51:11Z</dcterms:modified>
</cp:coreProperties>
</file>